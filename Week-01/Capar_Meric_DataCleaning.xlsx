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ericcapar/Downloads/"/>
    </mc:Choice>
  </mc:AlternateContent>
  <xr:revisionPtr revIDLastSave="0" documentId="13_ncr:1_{062F4D47-53B9-1C41-9100-B0D2F2C81701}" xr6:coauthVersionLast="47" xr6:coauthVersionMax="47" xr10:uidLastSave="{00000000-0000-0000-0000-000000000000}"/>
  <bookViews>
    <workbookView xWindow="10300" yWindow="660" windowWidth="18320" windowHeight="17180" activeTab="4" xr2:uid="{00000000-000D-0000-FFFF-FFFF00000000}"/>
  </bookViews>
  <sheets>
    <sheet name="Raw Sales Data" sheetId="1" r:id="rId1"/>
    <sheet name="Clean Data" sheetId="2" r:id="rId2"/>
    <sheet name="Cleaning Log" sheetId="3" r:id="rId3"/>
    <sheet name="Analysis" sheetId="4" r:id="rId4"/>
    <sheet name="Business Summary" sheetId="5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/>
  <c r="A102" i="2"/>
</calcChain>
</file>

<file path=xl/sharedStrings.xml><?xml version="1.0" encoding="utf-8"?>
<sst xmlns="http://schemas.openxmlformats.org/spreadsheetml/2006/main" count="2292" uniqueCount="443">
  <si>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</si>
  <si>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</si>
  <si>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</si>
  <si>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</si>
  <si>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</si>
  <si>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</si>
  <si>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</si>
  <si>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</si>
  <si>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</si>
  <si>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</si>
  <si>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</si>
  <si>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</si>
  <si>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</si>
  <si>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</si>
  <si>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</si>
  <si>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Keyboard%%</t>
  </si>
  <si>
    <t>2/1/24</t>
  </si>
  <si>
    <t xml:space="preserve"> customer1@company.com </t>
  </si>
  <si>
    <t xml:space="preserve"> robert  wilson</t>
  </si>
  <si>
    <t>san antonio</t>
  </si>
  <si>
    <t>tx</t>
  </si>
  <si>
    <t>Laptop@@</t>
  </si>
  <si>
    <t>2/2/24</t>
  </si>
  <si>
    <t xml:space="preserve"> customer2@company.com </t>
  </si>
  <si>
    <t>MICHAEL   jackson</t>
  </si>
  <si>
    <t>west</t>
  </si>
  <si>
    <t>Phone##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</si>
  <si>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</si>
  <si>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</si>
  <si>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</si>
  <si>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</si>
  <si>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</si>
  <si>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</si>
  <si>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</si>
  <si>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</si>
  <si>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</si>
  <si>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</si>
  <si>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</si>
  <si>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</si>
  <si>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Tablet!!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</si>
  <si>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</si>
  <si>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</si>
  <si>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</si>
  <si>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</si>
  <si>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</si>
  <si>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</si>
  <si>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</si>
  <si>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</si>
  <si>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Monitor$$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</si>
  <si>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</si>
  <si>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</si>
  <si>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</si>
  <si>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</si>
  <si>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</si>
  <si>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</si>
  <si>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</si>
  <si>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</si>
  <si>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</si>
  <si>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</si>
  <si>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</si>
  <si>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</si>
  <si>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</si>
  <si>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</si>
  <si>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</si>
  <si>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</si>
  <si>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</si>
  <si>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</si>
  <si>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</si>
  <si>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</si>
  <si>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</si>
  <si>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</si>
  <si>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</si>
  <si>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</si>
  <si>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</si>
  <si>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</si>
  <si>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</si>
  <si>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</si>
  <si>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</si>
  <si>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</si>
  <si>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</si>
  <si>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</si>
  <si>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</si>
  <si>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</si>
  <si>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</si>
  <si>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</si>
  <si>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</si>
  <si>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</si>
  <si>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</si>
  <si>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</si>
  <si>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</si>
  <si>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</si>
  <si>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</si>
  <si>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</si>
  <si>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</si>
  <si>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</si>
  <si>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</si>
  <si>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</si>
  <si>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</si>
  <si>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</si>
  <si>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</si>
  <si>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</si>
  <si>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</si>
  <si>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</si>
  <si>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</si>
  <si>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</si>
  <si>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</si>
  <si>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</si>
  <si>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</si>
  <si>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</si>
  <si>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</si>
  <si>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</si>
  <si>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</si>
  <si>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</si>
  <si>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</si>
  <si>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</si>
  <si>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</si>
  <si>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</si>
  <si>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</si>
  <si>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</si>
  <si>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</si>
  <si>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</si>
  <si>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</si>
  <si>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</si>
  <si>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</si>
  <si>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</si>
  <si>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</si>
  <si>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</si>
  <si>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</si>
  <si>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</si>
  <si>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</si>
  <si>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</si>
  <si>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</si>
  <si>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</si>
  <si>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</si>
  <si>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</si>
  <si>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</si>
  <si>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</si>
  <si>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</si>
  <si>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</si>
  <si>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</si>
  <si>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</si>
  <si>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</si>
  <si>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</si>
  <si>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</si>
  <si>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</si>
  <si>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</si>
  <si>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</si>
  <si>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</si>
  <si>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</si>
  <si>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</si>
  <si>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</si>
  <si>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</si>
  <si>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</si>
  <si>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</si>
  <si>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</si>
  <si>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</si>
  <si>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</si>
  <si>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</si>
  <si>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</si>
  <si>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</si>
  <si>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</si>
  <si>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</si>
  <si>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</si>
  <si>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</si>
  <si>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</si>
  <si>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</si>
  <si>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</si>
  <si>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</si>
  <si>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</si>
  <si>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</si>
  <si>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</si>
  <si>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</si>
  <si>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</si>
  <si>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</si>
  <si>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</si>
  <si>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</si>
  <si>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</si>
  <si>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</si>
  <si>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</si>
  <si>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</si>
  <si>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</si>
  <si>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</si>
  <si>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</si>
  <si>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</si>
  <si>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</si>
  <si>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</si>
  <si>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</si>
  <si>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</si>
  <si>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</si>
  <si>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</si>
  <si>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</si>
  <si>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</si>
  <si>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</si>
  <si>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</si>
  <si>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</si>
  <si>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</si>
  <si>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</si>
  <si>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</si>
  <si>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</si>
  <si>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</si>
  <si>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</si>
  <si>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</si>
  <si>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</si>
  <si>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</si>
  <si>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</si>
  <si>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</si>
  <si>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</si>
  <si>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</si>
  <si>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</si>
  <si>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</si>
  <si>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</si>
  <si>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</si>
  <si>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</si>
  <si>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</si>
  <si>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</si>
  <si>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</si>
  <si>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</si>
  <si>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</si>
  <si>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</si>
  <si>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</si>
  <si>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</si>
  <si>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</si>
  <si>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</si>
  <si>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</si>
  <si>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</si>
  <si>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NameTrim</t>
  </si>
  <si>
    <t>CleanName</t>
  </si>
  <si>
    <t>CleanProduct</t>
  </si>
  <si>
    <t>ProductFR</t>
  </si>
  <si>
    <t>ProductCheck</t>
  </si>
  <si>
    <t>Location</t>
  </si>
  <si>
    <t>FirstName</t>
  </si>
  <si>
    <t>LastName</t>
  </si>
  <si>
    <t>NameClean</t>
  </si>
  <si>
    <t>Laptop</t>
  </si>
  <si>
    <t>Phone</t>
  </si>
  <si>
    <t>Tablet</t>
  </si>
  <si>
    <t>Monitor</t>
  </si>
  <si>
    <t>Keyboard</t>
  </si>
  <si>
    <t>Col</t>
  </si>
  <si>
    <t>New Header</t>
  </si>
  <si>
    <t>Purpose</t>
  </si>
  <si>
    <t>Row Affected</t>
  </si>
  <si>
    <t>L</t>
  </si>
  <si>
    <t>Patricia Taylor</t>
  </si>
  <si>
    <t>Robert Wilson</t>
  </si>
  <si>
    <t>Michael Jackson</t>
  </si>
  <si>
    <t>Michael Thomas</t>
  </si>
  <si>
    <t>Robert Johnson</t>
  </si>
  <si>
    <t>Mary Wilson</t>
  </si>
  <si>
    <t>Michael Taylor</t>
  </si>
  <si>
    <t>Robert Davis</t>
  </si>
  <si>
    <t>Elizabeth Brown</t>
  </si>
  <si>
    <t>Elizabeth Johnson</t>
  </si>
  <si>
    <t>Elizabeth Moore</t>
  </si>
  <si>
    <t>Barbara Davis</t>
  </si>
  <si>
    <t>Barbara Thomas</t>
  </si>
  <si>
    <t>Patricia Johnson</t>
  </si>
  <si>
    <t>Elizabeth Wilson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</si>
  <si>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</si>
  <si>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</si>
  <si>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</si>
  <si>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</si>
  <si>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</si>
  <si>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</si>
  <si>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</si>
  <si>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</si>
  <si>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</si>
  <si>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</si>
  <si>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Barbara Taylor</t>
  </si>
  <si>
    <t>Linda Davis</t>
  </si>
  <si>
    <t>James Jackson</t>
  </si>
  <si>
    <t>Barbara Johnson</t>
  </si>
  <si>
    <t>William Taylor</t>
  </si>
  <si>
    <t>Mary Moore</t>
  </si>
  <si>
    <t>John Jackson</t>
  </si>
  <si>
    <t>Linda Wilson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</si>
  <si>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</si>
  <si>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</si>
  <si>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</si>
  <si>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</si>
  <si>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</si>
  <si>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</si>
  <si>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</si>
  <si>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</si>
  <si>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</si>
  <si>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</si>
  <si>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</si>
  <si>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Johnson</t>
  </si>
  <si>
    <t>Linda Brown</t>
  </si>
  <si>
    <t>Robert Moore</t>
  </si>
  <si>
    <t>James Smith</t>
  </si>
  <si>
    <t>John Moore</t>
  </si>
  <si>
    <t>James Anderson</t>
  </si>
  <si>
    <t>Patricia Thomas</t>
  </si>
  <si>
    <t>Barbara Brown</t>
  </si>
  <si>
    <t>Linda Smith</t>
  </si>
  <si>
    <t>John Davis</t>
  </si>
  <si>
    <t>John Anderson</t>
  </si>
  <si>
    <t>Elizabeth Taylor</t>
  </si>
  <si>
    <t>Linda Taylor</t>
  </si>
  <si>
    <t>Barbara Wilson</t>
  </si>
  <si>
    <t>William Thomas</t>
  </si>
  <si>
    <t>Mary Smith</t>
  </si>
  <si>
    <t>John Brown</t>
  </si>
  <si>
    <t>James Davis</t>
  </si>
  <si>
    <t>Linda Thomas</t>
  </si>
  <si>
    <t>Mary Thomas</t>
  </si>
  <si>
    <t>William Jackson</t>
  </si>
  <si>
    <t>Patricia</t>
  </si>
  <si>
    <t>Taylor</t>
  </si>
  <si>
    <t>Robert</t>
  </si>
  <si>
    <t>Wilson</t>
  </si>
  <si>
    <t>Michael</t>
  </si>
  <si>
    <t>Jackson</t>
  </si>
  <si>
    <t>Thomas</t>
  </si>
  <si>
    <t>Johnson</t>
  </si>
  <si>
    <t>Mary</t>
  </si>
  <si>
    <t>Davis</t>
  </si>
  <si>
    <t>Elizabeth</t>
  </si>
  <si>
    <t>Brown</t>
  </si>
  <si>
    <t>Moore</t>
  </si>
  <si>
    <t>Barbara</t>
  </si>
  <si>
    <t>Linda</t>
  </si>
  <si>
    <t>Anderson</t>
  </si>
  <si>
    <t>William</t>
  </si>
  <si>
    <t>James</t>
  </si>
  <si>
    <t>John</t>
  </si>
  <si>
    <t>Smith</t>
  </si>
  <si>
    <t>patricia TAYLOR</t>
  </si>
  <si>
    <t>Chicago; IL</t>
  </si>
  <si>
    <t>robert wilson</t>
  </si>
  <si>
    <t>San Antonio; TX</t>
  </si>
  <si>
    <t>MICHAEL jackson</t>
  </si>
  <si>
    <t>MICHAEL THOMAS</t>
  </si>
  <si>
    <t>San Diego; CA</t>
  </si>
  <si>
    <t>robert JOHNSON</t>
  </si>
  <si>
    <t>Houston; TX</t>
  </si>
  <si>
    <t>MARY wilson</t>
  </si>
  <si>
    <t>MICHAEL TAYLOR</t>
  </si>
  <si>
    <t>Los Angeles; CA</t>
  </si>
  <si>
    <t>robert DAVIS</t>
  </si>
  <si>
    <t>ELIZABETH brown</t>
  </si>
  <si>
    <t>ELIZABETH JOHNSON</t>
  </si>
  <si>
    <t>ELIZABETH moore</t>
  </si>
  <si>
    <t>barbara DAVIS</t>
  </si>
  <si>
    <t>Philadelphia; PA</t>
  </si>
  <si>
    <t>patricia JOHNSON</t>
  </si>
  <si>
    <t>New York; NY</t>
  </si>
  <si>
    <t>ELIZABETH wilson</t>
  </si>
  <si>
    <t>Phoenix; AZ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</si>
  <si>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</si>
  <si>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</si>
  <si>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</si>
  <si>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</si>
  <si>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</si>
  <si>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</si>
  <si>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</si>
  <si>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</si>
  <si>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</si>
  <si>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</si>
  <si>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LINDA DAVIS</t>
  </si>
  <si>
    <t>James jackson</t>
  </si>
  <si>
    <t>william TAYLOR</t>
  </si>
  <si>
    <t>MARY moore</t>
  </si>
  <si>
    <t>john jackson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</si>
  <si>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</si>
  <si>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</si>
  <si>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</si>
  <si>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</si>
  <si>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</si>
  <si>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</si>
  <si>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</si>
  <si>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</si>
  <si>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</si>
  <si>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</si>
  <si>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</si>
  <si>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brown</t>
  </si>
  <si>
    <t>robert moore</t>
  </si>
  <si>
    <t>James smith</t>
  </si>
  <si>
    <t>john moore</t>
  </si>
  <si>
    <t>patricia THOMAS</t>
  </si>
  <si>
    <t>barbara brown</t>
  </si>
  <si>
    <t>LINDA smith</t>
  </si>
  <si>
    <t>john DAVIS</t>
  </si>
  <si>
    <t>john Anderson</t>
  </si>
  <si>
    <t>ELIZABETH TAYLOR</t>
  </si>
  <si>
    <t>william THOMAS</t>
  </si>
  <si>
    <t>MARY smith</t>
  </si>
  <si>
    <t>john brown</t>
  </si>
  <si>
    <t>James DAVIS</t>
  </si>
  <si>
    <t>MARY THOMAS</t>
  </si>
  <si>
    <t>william jackson</t>
  </si>
  <si>
    <t>O</t>
  </si>
  <si>
    <t>P</t>
  </si>
  <si>
    <t>Created in</t>
  </si>
  <si>
    <t>A:K</t>
  </si>
  <si>
    <t>—</t>
  </si>
  <si>
    <t>Profile</t>
  </si>
  <si>
    <t>Reviewed the raw data: 100 records, 2 duplicate OrderIDs (2006, 2011), extra spaces and mixed case in names, symbols in product names, lowercase region/city/state, dates stored as text, spaces in emails</t>
  </si>
  <si>
    <t>Task 1</t>
  </si>
  <si>
    <t>Removed hidden characters from customer names with CLEAN (none found, safety step)</t>
  </si>
  <si>
    <t>M</t>
  </si>
  <si>
    <t>Task 2</t>
  </si>
  <si>
    <t>Removed leading, trailing and double spaces with TRIM</t>
  </si>
  <si>
    <t>N</t>
  </si>
  <si>
    <t>Task 3</t>
  </si>
  <si>
    <t>Fixed name capitalization with PROPER</t>
  </si>
  <si>
    <t>L:N</t>
  </si>
  <si>
    <t>Task 4</t>
  </si>
  <si>
    <t>Filled the formulas down to row 101 with AutoFill</t>
  </si>
  <si>
    <t>Task 5</t>
  </si>
  <si>
    <t>Removed system symbols (@, #, !, $, %) from product names with nested SUBSTITUTE</t>
  </si>
  <si>
    <t>Task 6</t>
  </si>
  <si>
    <t>Removed the same symbols with Find &amp; Replace (@: 46, #: 38, !: 40, $: 30, %: 46 replacements)</t>
  </si>
  <si>
    <t>Q</t>
  </si>
  <si>
    <t>Compared O and P with EXACT; COUNTIF of FALSE = 0, both methods match</t>
  </si>
  <si>
    <t>R</t>
  </si>
  <si>
    <t>Task 7</t>
  </si>
  <si>
    <t>Combined City and State with CONCAT, PROPER and UPPER (e.g. Chicago, IL)</t>
  </si>
  <si>
    <t>S</t>
  </si>
  <si>
    <t>Task 8</t>
  </si>
  <si>
    <t>Split CleanName into first name with Text to Columns</t>
  </si>
  <si>
    <t>T</t>
  </si>
  <si>
    <t>Split CleanName into last name with Text to Columns</t>
  </si>
  <si>
    <t>Task 9</t>
  </si>
  <si>
    <t>Removed duplicate orders (OrderID 2006 and 2011) with Remove Duplicates</t>
  </si>
  <si>
    <t>2 removed, 98 remain</t>
  </si>
  <si>
    <t>I</t>
  </si>
  <si>
    <t>Task 10</t>
  </si>
  <si>
    <t>Highlighted orders over $1,000 with Conditional Formatting</t>
  </si>
  <si>
    <t>L:T</t>
  </si>
  <si>
    <t>Finalize</t>
  </si>
  <si>
    <t>Converted formulas to values, hid helper columns L, M, P and Q, formatted the data as table tblSales</t>
  </si>
  <si>
    <t>Row Labels</t>
  </si>
  <si>
    <t>Grand Total</t>
  </si>
  <si>
    <t>Sum of TotalSales</t>
  </si>
  <si>
    <t>Count of OrderID</t>
  </si>
  <si>
    <t>Hi Dana,
Here are the February numbers from the cleaned data.
Laptops were our top product with $73,718 in revenue, followed by Phones ($36,348) and Tablets ($30,938). Total revenue was $162,362.
The South region came out on top with $46,676, but the West was close behind, only $1,272 less.
Our top five customers were Michael Thomas, Robert Wilson, James Moore, Patricia Wilson and Linda Moore.
I flagged 56 orders over $1,000.
To make sure you can trust these numbers, I cleaned up the customer and product names and removed 2 duplicate orders. Without that, revenue would have been $6,990 too high. All changes are listed in the Cleaning Log.</t>
  </si>
  <si>
    <r>
      <t>2.</t>
    </r>
    <r>
      <rPr>
        <sz val="11"/>
        <color theme="1"/>
        <rFont val="Calibri"/>
        <family val="2"/>
        <scheme val="minor"/>
      </rPr>
      <t xml:space="preserve"> Not really. Every order has a different email, so people with the same name might be different customers. For example, “Michael Thomas” shows up with 4 different emails. Email or a customer ID would be more reliable, and it would change the Top 5 list.</t>
    </r>
  </si>
  <si>
    <r>
      <t>4.</t>
    </r>
    <r>
      <rPr>
        <sz val="11"/>
        <color theme="1"/>
        <rFont val="Calibri"/>
        <family val="2"/>
        <scheme val="minor"/>
      </rPr>
      <t xml:space="preserve"> Since the dates are text, we can’t sort them properly or look at trends by day or week. I’d convert them to real dates with Text to Columns or DATEVALUE.</t>
    </r>
  </si>
  <si>
    <r>
      <t>1.</t>
    </r>
    <r>
      <rPr>
        <sz val="11"/>
        <color theme="1"/>
        <rFont val="Calibri"/>
        <family val="2"/>
        <scheme val="minor"/>
      </rPr>
      <t xml:space="preserve"> Revenue would have been $6,990 too high because of the 2 duplicate orders </t>
    </r>
  </si>
  <si>
    <r>
      <t>3.</t>
    </r>
    <r>
      <rPr>
        <sz val="11"/>
        <color theme="1"/>
        <rFont val="Calibri"/>
        <family val="2"/>
        <scheme val="minor"/>
      </rPr>
      <t xml:space="preserve"> No. Each city shows up in 3 or 4 different regions.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</si>
</sst>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ic Capar" refreshedDate="46311.725385879632" createdVersion="8" refreshedVersion="8" minRefreshableVersion="3" recordCount="98" xr:uid="{665D099C-B044-BA46-8E55-142C148C91B2}">
  <cacheSource type="worksheet">
    <worksheetSource name="tblSales"/>
  </cacheSource>
  <cacheFields count="20">
    <cacheField name="OrderID" numFmtId="0">
      <sharedItems containsSemiMixedTypes="0" containsString="0" containsNumber="1" containsInteger="1" minValue="2001" maxValue="2100"/>
    </cacheField>
    <cacheField name="CustomerName" numFmtId="0">
      <sharedItems/>
    </cacheField>
    <cacheField name="Region" numFmtId="0">
      <sharedItems count="4">
        <s v="south"/>
        <s v="west"/>
        <s v="midwest"/>
        <s v="east"/>
      </sharedItems>
    </cacheField>
    <cacheField name="City" numFmtId="0">
      <sharedItems/>
    </cacheField>
    <cacheField name="State" numFmtId="0">
      <sharedItems/>
    </cacheField>
    <cacheField name="Product" numFmtId="0">
      <sharedItems/>
    </cacheField>
    <cacheField name="UnitPrice" numFmtId="0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" maxValue="4495"/>
    </cacheField>
    <cacheField name="OrderDate" numFmtId="0">
      <sharedItems/>
    </cacheField>
    <cacheField name="Email" numFmtId="0">
      <sharedItems/>
    </cacheField>
    <cacheField name="NameClean" numFmtId="0">
      <sharedItems/>
    </cacheField>
    <cacheField name="NameTrim" numFmtId="0">
      <sharedItems/>
    </cacheField>
    <cacheField name="CleanName" numFmtId="0">
      <sharedItems count="65">
        <s v="Patricia Taylor"/>
        <s v="Robert Wilson"/>
        <s v="Michael Jackson"/>
        <s v="Michael Thomas"/>
        <s v="Robert Johnson"/>
        <s v="Mary Wilson"/>
        <s v="Michael Taylor"/>
        <s v="Robert Davis"/>
        <s v="Elizabeth Brown"/>
        <s v="Elizabeth Johnson"/>
        <s v="Elizabeth Moore"/>
        <s v="Barbara Davis"/>
        <s v="Barbara Thomas"/>
        <s v="Patricia Johnson"/>
        <s v="Elizabeth Wilson"/>
        <s v="Robert Taylor"/>
        <s v="Michael Moore"/>
        <s v="Patricia Moore"/>
        <s v="Linda Anderson"/>
        <s v="William Anderson"/>
        <s v="Linda Moore"/>
        <s v="James Moore"/>
        <s v="Mary Davis"/>
        <s v="Patricia Jackson"/>
        <s v="Robert Anderson"/>
        <s v="Barbara Taylor"/>
        <s v="Linda Davis"/>
        <s v="James Jackson"/>
        <s v="Barbara Johnson"/>
        <s v="William Taylor"/>
        <s v="Mary Moore"/>
        <s v="John Jackson"/>
        <s v="Linda Wilson"/>
        <s v="Michael Anderson"/>
        <s v="Elizabeth Davis"/>
        <s v="Elizabeth Jackson"/>
        <s v="Mary Taylor"/>
        <s v="Elizabeth Thomas"/>
        <s v="Barbara Smith"/>
        <s v="Robert Brown"/>
        <s v="James Wilson"/>
        <s v="John Wilson"/>
        <s v="William Wilson"/>
        <s v="Patricia Wilson"/>
        <s v="Linda Johnson"/>
        <s v="Linda Brown"/>
        <s v="Robert Moore"/>
        <s v="James Smith"/>
        <s v="John Moore"/>
        <s v="James Anderson"/>
        <s v="Patricia Thomas"/>
        <s v="Barbara Brown"/>
        <s v="Linda Smith"/>
        <s v="John Davis"/>
        <s v="John Anderson"/>
        <s v="Elizabeth Taylor"/>
        <s v="Linda Taylor"/>
        <s v="Barbara Wilson"/>
        <s v="William Thomas"/>
        <s v="Mary Smith"/>
        <s v="John Brown"/>
        <s v="James Davis"/>
        <s v="Linda Thomas"/>
        <s v="Mary Thomas"/>
        <s v="William Jackson"/>
      </sharedItems>
    </cacheField>
    <cacheField name="CleanProduct" numFmtId="0">
      <sharedItems count="5">
        <s v="Keyboard"/>
        <s v="Laptop"/>
        <s v="Phone"/>
        <s v="Tablet"/>
        <s v="Monitor"/>
      </sharedItems>
    </cacheField>
    <cacheField name="ProductFR" numFmtId="0">
      <sharedItems/>
    </cacheField>
    <cacheField name="ProductCheck" numFmtId="0">
      <sharedItems/>
    </cacheField>
    <cacheField name="Location" numFmtId="0">
      <sharedItems/>
    </cacheField>
    <cacheField name="FirstName" numFmtId="0">
      <sharedItems/>
    </cacheField>
    <cacheField name="Last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01"/>
    <s v=" patricia TAYLOR"/>
    <x v="0"/>
    <s v="chicago"/>
    <s v="il"/>
    <s v="Keyboard%%"/>
    <n v="89"/>
    <n v="5"/>
    <n v="445"/>
    <s v="2/1/24"/>
    <s v=" customer1@company.com "/>
    <s v=" patricia TAYLOR"/>
    <s v="patricia TAYLOR"/>
    <x v="0"/>
    <x v="0"/>
    <s v="Keyboard"/>
    <b v="1"/>
    <s v="Chicago; IL"/>
    <s v="Patricia"/>
    <s v="Taylor"/>
  </r>
  <r>
    <n v="2002"/>
    <s v=" robert  wilson"/>
    <x v="0"/>
    <s v="san antonio"/>
    <s v="tx"/>
    <s v="Laptop@@"/>
    <n v="899"/>
    <n v="3"/>
    <n v="2697"/>
    <s v="2/2/24"/>
    <s v=" customer2@company.com "/>
    <s v=" robert  wilson"/>
    <s v="robert wilson"/>
    <x v="1"/>
    <x v="1"/>
    <s v="Laptop"/>
    <b v="1"/>
    <s v="San Antonio; TX"/>
    <s v="Robert"/>
    <s v="Wilson"/>
  </r>
  <r>
    <n v="2003"/>
    <s v="MICHAEL   jackson"/>
    <x v="1"/>
    <s v="chicago"/>
    <s v="il"/>
    <s v="Phone##"/>
    <n v="699"/>
    <n v="2"/>
    <n v="1398"/>
    <s v="2/3/24"/>
    <s v=" customer3@company.com "/>
    <s v="MICHAEL   jackson"/>
    <s v="MICHAEL jackson"/>
    <x v="2"/>
    <x v="2"/>
    <s v="Phone"/>
    <b v="1"/>
    <s v="Chicago; IL"/>
    <s v="Michael"/>
    <s v="Jackson"/>
  </r>
  <r>
    <n v="2004"/>
    <s v="MICHAEL  THOMAS"/>
    <x v="1"/>
    <s v="san diego"/>
    <s v="ca"/>
    <s v="Laptop@@"/>
    <n v="899"/>
    <n v="5"/>
    <n v="4495"/>
    <s v="2/4/24"/>
    <s v=" customer4@company.com "/>
    <s v="MICHAEL  THOMAS"/>
    <s v="MICHAEL THOMAS"/>
    <x v="3"/>
    <x v="1"/>
    <s v="Laptop"/>
    <b v="1"/>
    <s v="San Diego; CA"/>
    <s v="Michael"/>
    <s v="Thomas"/>
  </r>
  <r>
    <n v="2005"/>
    <s v=" robert  JOHNSON"/>
    <x v="1"/>
    <s v="houston"/>
    <s v="tx"/>
    <s v="Keyboard%%"/>
    <n v="89"/>
    <n v="5"/>
    <n v="445"/>
    <s v="2/5/24"/>
    <s v=" customer5@company.com "/>
    <s v=" robert  JOHNSON"/>
    <s v="robert JOHNSON"/>
    <x v="4"/>
    <x v="0"/>
    <s v="Keyboard"/>
    <b v="1"/>
    <s v="Houston; TX"/>
    <s v="Robert"/>
    <s v="Johnson"/>
  </r>
  <r>
    <n v="2006"/>
    <s v="MARY  wilson"/>
    <x v="1"/>
    <s v="houston"/>
    <s v="tx"/>
    <s v="Tablet!!"/>
    <n v="499"/>
    <n v="5"/>
    <n v="2495"/>
    <s v="2/6/24"/>
    <s v=" customer6@company.com "/>
    <s v="MARY  wilson"/>
    <s v="MARY wilson"/>
    <x v="5"/>
    <x v="3"/>
    <s v="Tablet"/>
    <b v="1"/>
    <s v="Houston; TX"/>
    <s v="Mary"/>
    <s v="Wilson"/>
  </r>
  <r>
    <n v="2007"/>
    <s v="MICHAEL  TAYLOR"/>
    <x v="2"/>
    <s v="los angeles"/>
    <s v="ca"/>
    <s v="Tablet!!"/>
    <n v="499"/>
    <n v="3"/>
    <n v="1497"/>
    <s v="2/7/24"/>
    <s v=" customer7@company.com "/>
    <s v="MICHAEL  TAYLOR"/>
    <s v="MICHAEL TAYLOR"/>
    <x v="6"/>
    <x v="3"/>
    <s v="Tablet"/>
    <b v="1"/>
    <s v="Los Angeles; CA"/>
    <s v="Michael"/>
    <s v="Taylor"/>
  </r>
  <r>
    <n v="2008"/>
    <s v=" robert  DAVIS "/>
    <x v="1"/>
    <s v="chicago"/>
    <s v="il"/>
    <s v="Monitor$$"/>
    <n v="299"/>
    <n v="3"/>
    <n v="897"/>
    <s v="2/8/24"/>
    <s v=" customer8@company.com "/>
    <s v=" robert  DAVIS "/>
    <s v="robert DAVIS"/>
    <x v="7"/>
    <x v="4"/>
    <s v="Monitor"/>
    <b v="1"/>
    <s v="Chicago; IL"/>
    <s v="Robert"/>
    <s v="Davis"/>
  </r>
  <r>
    <n v="2009"/>
    <s v="ELIZABETH   brown"/>
    <x v="0"/>
    <s v="chicago"/>
    <s v="il"/>
    <s v="Phone##"/>
    <n v="699"/>
    <n v="4"/>
    <n v="2796"/>
    <s v="2/9/24"/>
    <s v=" customer9@company.com "/>
    <s v="ELIZABETH   brown"/>
    <s v="ELIZABETH brown"/>
    <x v="8"/>
    <x v="2"/>
    <s v="Phone"/>
    <b v="1"/>
    <s v="Chicago; IL"/>
    <s v="Elizabeth"/>
    <s v="Brown"/>
  </r>
  <r>
    <n v="2010"/>
    <s v="ELIZABETH  JOHNSON"/>
    <x v="3"/>
    <s v="los angeles"/>
    <s v="ca"/>
    <s v="Laptop@@"/>
    <n v="899"/>
    <n v="5"/>
    <n v="4495"/>
    <s v="2/10/24"/>
    <s v=" customer10@company.com "/>
    <s v="ELIZABETH  JOHNSON"/>
    <s v="ELIZABETH JOHNSON"/>
    <x v="9"/>
    <x v="1"/>
    <s v="Laptop"/>
    <b v="1"/>
    <s v="Los Angeles; CA"/>
    <s v="Elizabeth"/>
    <s v="Johnson"/>
  </r>
  <r>
    <n v="2011"/>
    <s v=" robert  wilson"/>
    <x v="3"/>
    <s v="houston"/>
    <s v="tx"/>
    <s v="Laptop@@"/>
    <n v="899"/>
    <n v="5"/>
    <n v="4495"/>
    <s v="2/11/24"/>
    <s v=" customer11@company.com "/>
    <s v=" robert  wilson"/>
    <s v="robert wilson"/>
    <x v="1"/>
    <x v="1"/>
    <s v="Laptop"/>
    <b v="1"/>
    <s v="Houston; TX"/>
    <s v="Robert"/>
    <s v="Wilson"/>
  </r>
  <r>
    <n v="2012"/>
    <s v="ELIZABETH   moore"/>
    <x v="2"/>
    <s v="houston"/>
    <s v="tx"/>
    <s v="Laptop@@"/>
    <n v="899"/>
    <n v="3"/>
    <n v="2697"/>
    <s v="2/12/24"/>
    <s v=" customer12@company.com "/>
    <s v="ELIZABETH   moore"/>
    <s v="ELIZABETH moore"/>
    <x v="10"/>
    <x v="1"/>
    <s v="Laptop"/>
    <b v="1"/>
    <s v="Houston; TX"/>
    <s v="Elizabeth"/>
    <s v="Moore"/>
  </r>
  <r>
    <n v="2013"/>
    <s v="barbara DAVIS "/>
    <x v="0"/>
    <s v="chicago"/>
    <s v="il"/>
    <s v="Tablet!!"/>
    <n v="499"/>
    <n v="4"/>
    <n v="1996"/>
    <s v="2/13/24"/>
    <s v=" customer13@company.com "/>
    <s v="barbara DAVIS "/>
    <s v="barbara DAVIS"/>
    <x v="11"/>
    <x v="3"/>
    <s v="Tablet"/>
    <b v="1"/>
    <s v="Chicago; IL"/>
    <s v="Barbara"/>
    <s v="Davis"/>
  </r>
  <r>
    <n v="2014"/>
    <s v="barbara THOMAS"/>
    <x v="2"/>
    <s v="philadelphia"/>
    <s v="pa"/>
    <s v="Tablet!!"/>
    <n v="499"/>
    <n v="3"/>
    <n v="1497"/>
    <s v="2/14/24"/>
    <s v=" customer14@company.com "/>
    <s v="barbara THOMAS"/>
    <s v="barbara THOMAS"/>
    <x v="12"/>
    <x v="3"/>
    <s v="Tablet"/>
    <b v="1"/>
    <s v="Philadelphia; PA"/>
    <s v="Barbara"/>
    <s v="Thomas"/>
  </r>
  <r>
    <n v="2015"/>
    <s v=" patricia JOHNSON"/>
    <x v="3"/>
    <s v="new york"/>
    <s v="ny"/>
    <s v="Monitor$$"/>
    <n v="299"/>
    <n v="4"/>
    <n v="1196"/>
    <s v="2/15/24"/>
    <s v=" customer15@company.com "/>
    <s v=" patricia JOHNSON"/>
    <s v="patricia JOHNSON"/>
    <x v="13"/>
    <x v="4"/>
    <s v="Monitor"/>
    <b v="1"/>
    <s v="New York; NY"/>
    <s v="Patricia"/>
    <s v="Johnson"/>
  </r>
  <r>
    <n v="2016"/>
    <s v="ELIZABETH  wilson"/>
    <x v="1"/>
    <s v="phoenix"/>
    <s v="az"/>
    <s v="Tablet!!"/>
    <n v="499"/>
    <n v="4"/>
    <n v="1996"/>
    <s v="2/16/24"/>
    <s v=" customer16@company.com "/>
    <s v="ELIZABETH  wilson"/>
    <s v="ELIZABETH wilson"/>
    <x v="14"/>
    <x v="3"/>
    <s v="Tablet"/>
    <b v="1"/>
    <s v="Phoenix; AZ"/>
    <s v="Elizabeth"/>
    <s v="Wilson"/>
  </r>
  <r>
    <n v="2017"/>
    <s v=" robert  TAYLOR"/>
    <x v="0"/>
    <s v="philadelphia"/>
    <s v="pa"/>
    <s v="Tablet!!"/>
    <n v="499"/>
    <n v="4"/>
    <n v="1996"/>
    <s v="2/17/24"/>
    <s v=" customer17@company.com "/>
    <s v=" robert  TAYLOR"/>
    <s v="robert TAYLOR"/>
    <x v="15"/>
    <x v="3"/>
    <s v="Tablet"/>
    <b v="1"/>
    <s v="Philadelphia; PA"/>
    <s v="Robert"/>
    <s v="Taylor"/>
  </r>
  <r>
    <n v="2018"/>
    <s v="MICHAEL   moore"/>
    <x v="0"/>
    <s v="san diego"/>
    <s v="ca"/>
    <s v="Keyboard%%"/>
    <n v="89"/>
    <n v="4"/>
    <n v="356"/>
    <s v="2/18/24"/>
    <s v=" customer18@company.com "/>
    <s v="MICHAEL   moore"/>
    <s v="MICHAEL moore"/>
    <x v="16"/>
    <x v="0"/>
    <s v="Keyboard"/>
    <b v="1"/>
    <s v="San Diego; CA"/>
    <s v="Michael"/>
    <s v="Moore"/>
  </r>
  <r>
    <n v="2019"/>
    <s v=" patricia  moore"/>
    <x v="0"/>
    <s v="houston"/>
    <s v="tx"/>
    <s v="Monitor$$"/>
    <n v="299"/>
    <n v="4"/>
    <n v="1196"/>
    <s v="2/19/24"/>
    <s v=" customer19@company.com "/>
    <s v=" patricia  moore"/>
    <s v="patricia moore"/>
    <x v="17"/>
    <x v="4"/>
    <s v="Monitor"/>
    <b v="1"/>
    <s v="Houston; TX"/>
    <s v="Patricia"/>
    <s v="Moore"/>
  </r>
  <r>
    <n v="2020"/>
    <s v="LINDA Anderson "/>
    <x v="2"/>
    <s v="houston"/>
    <s v="tx"/>
    <s v="Phone##"/>
    <n v="699"/>
    <n v="2"/>
    <n v="1398"/>
    <s v="2/20/24"/>
    <s v=" customer20@company.com "/>
    <s v="LINDA Anderson "/>
    <s v="LINDA Anderson"/>
    <x v="18"/>
    <x v="2"/>
    <s v="Phone"/>
    <b v="1"/>
    <s v="Houston; TX"/>
    <s v="Linda"/>
    <s v="Anderson"/>
  </r>
  <r>
    <n v="2022"/>
    <s v=" william Anderson "/>
    <x v="3"/>
    <s v="houston"/>
    <s v="tx"/>
    <s v="Keyboard%%"/>
    <n v="89"/>
    <n v="5"/>
    <n v="445"/>
    <s v="2/22/24"/>
    <s v=" customer22@company.com "/>
    <s v=" william Anderson "/>
    <s v="william Anderson"/>
    <x v="19"/>
    <x v="0"/>
    <s v="Keyboard"/>
    <b v="1"/>
    <s v="Houston; TX"/>
    <s v="William"/>
    <s v="Anderson"/>
  </r>
  <r>
    <n v="2023"/>
    <s v="MICHAEL  THOMAS"/>
    <x v="0"/>
    <s v="houston"/>
    <s v="tx"/>
    <s v="Phone##"/>
    <n v="699"/>
    <n v="2"/>
    <n v="1398"/>
    <s v="2/23/24"/>
    <s v=" customer23@company.com "/>
    <s v="MICHAEL  THOMAS"/>
    <s v="MICHAEL THOMAS"/>
    <x v="3"/>
    <x v="2"/>
    <s v="Phone"/>
    <b v="1"/>
    <s v="Houston; TX"/>
    <s v="Michael"/>
    <s v="Thomas"/>
  </r>
  <r>
    <n v="2024"/>
    <s v="barbara THOMAS"/>
    <x v="2"/>
    <s v="san diego"/>
    <s v="ca"/>
    <s v="Laptop@@"/>
    <n v="899"/>
    <n v="4"/>
    <n v="3596"/>
    <s v="2/24/24"/>
    <s v=" customer24@company.com "/>
    <s v="barbara THOMAS"/>
    <s v="barbara THOMAS"/>
    <x v="12"/>
    <x v="1"/>
    <s v="Laptop"/>
    <b v="1"/>
    <s v="San Diego; CA"/>
    <s v="Barbara"/>
    <s v="Thomas"/>
  </r>
  <r>
    <n v="2025"/>
    <s v="LINDA  moore"/>
    <x v="3"/>
    <s v="los angeles"/>
    <s v="ca"/>
    <s v="Monitor$$"/>
    <n v="299"/>
    <n v="3"/>
    <n v="897"/>
    <s v="2/25/24"/>
    <s v=" customer25@company.com "/>
    <s v="LINDA  moore"/>
    <s v="LINDA moore"/>
    <x v="20"/>
    <x v="4"/>
    <s v="Monitor"/>
    <b v="1"/>
    <s v="Los Angeles; CA"/>
    <s v="Linda"/>
    <s v="Moore"/>
  </r>
  <r>
    <n v="2026"/>
    <s v=" patricia TAYLOR"/>
    <x v="3"/>
    <s v="los angeles"/>
    <s v="ca"/>
    <s v="Keyboard%%"/>
    <n v="89"/>
    <n v="3"/>
    <n v="267"/>
    <s v="2/26/24"/>
    <s v=" customer26@company.com "/>
    <s v=" patricia TAYLOR"/>
    <s v="patricia TAYLOR"/>
    <x v="0"/>
    <x v="0"/>
    <s v="Keyboard"/>
    <b v="1"/>
    <s v="Los Angeles; CA"/>
    <s v="Patricia"/>
    <s v="Taylor"/>
  </r>
  <r>
    <n v="2027"/>
    <s v="James   moore"/>
    <x v="0"/>
    <s v="san diego"/>
    <s v="ca"/>
    <s v="Laptop@@"/>
    <n v="899"/>
    <n v="5"/>
    <n v="4495"/>
    <s v="2/27/24"/>
    <s v=" customer27@company.com "/>
    <s v="James   moore"/>
    <s v="James moore"/>
    <x v="21"/>
    <x v="1"/>
    <s v="Laptop"/>
    <b v="1"/>
    <s v="San Diego; CA"/>
    <s v="James"/>
    <s v="Moore"/>
  </r>
  <r>
    <n v="2028"/>
    <s v="MARY  DAVIS "/>
    <x v="0"/>
    <s v="los angeles"/>
    <s v="ca"/>
    <s v="Tablet!!"/>
    <n v="499"/>
    <n v="2"/>
    <n v="998"/>
    <s v="2/28/24"/>
    <s v=" customer28@company.com "/>
    <s v="MARY  DAVIS "/>
    <s v="MARY DAVIS"/>
    <x v="22"/>
    <x v="3"/>
    <s v="Tablet"/>
    <b v="1"/>
    <s v="Los Angeles; CA"/>
    <s v="Mary"/>
    <s v="Davis"/>
  </r>
  <r>
    <n v="2029"/>
    <s v=" patricia  jackson"/>
    <x v="2"/>
    <s v="phoenix"/>
    <s v="az"/>
    <s v="Phone##"/>
    <n v="699"/>
    <n v="1"/>
    <n v="699"/>
    <s v="2/1/24"/>
    <s v=" customer29@company.com "/>
    <s v=" patricia  jackson"/>
    <s v="patricia jackson"/>
    <x v="23"/>
    <x v="2"/>
    <s v="Phone"/>
    <b v="1"/>
    <s v="Phoenix; AZ"/>
    <s v="Patricia"/>
    <s v="Jackson"/>
  </r>
  <r>
    <n v="2030"/>
    <s v="MICHAEL  THOMAS"/>
    <x v="0"/>
    <s v="philadelphia"/>
    <s v="pa"/>
    <s v="Laptop@@"/>
    <n v="899"/>
    <n v="2"/>
    <n v="1798"/>
    <s v="2/2/24"/>
    <s v=" customer30@company.com "/>
    <s v="MICHAEL  THOMAS"/>
    <s v="MICHAEL THOMAS"/>
    <x v="3"/>
    <x v="1"/>
    <s v="Laptop"/>
    <b v="1"/>
    <s v="Philadelphia; PA"/>
    <s v="Michael"/>
    <s v="Thomas"/>
  </r>
  <r>
    <n v="2031"/>
    <s v=" robert  Anderson "/>
    <x v="3"/>
    <s v="chicago"/>
    <s v="il"/>
    <s v="Laptop@@"/>
    <n v="899"/>
    <n v="5"/>
    <n v="4495"/>
    <s v="2/3/24"/>
    <s v=" customer31@company.com "/>
    <s v=" robert  Anderson "/>
    <s v="robert Anderson"/>
    <x v="24"/>
    <x v="1"/>
    <s v="Laptop"/>
    <b v="1"/>
    <s v="Chicago; IL"/>
    <s v="Robert"/>
    <s v="Anderson"/>
  </r>
  <r>
    <n v="2032"/>
    <s v="barbara TAYLOR"/>
    <x v="3"/>
    <s v="san antonio"/>
    <s v="tx"/>
    <s v="Monitor$$"/>
    <n v="299"/>
    <n v="3"/>
    <n v="897"/>
    <s v="2/4/24"/>
    <s v=" customer32@company.com "/>
    <s v="barbara TAYLOR"/>
    <s v="barbara TAYLOR"/>
    <x v="25"/>
    <x v="4"/>
    <s v="Monitor"/>
    <b v="1"/>
    <s v="San Antonio; TX"/>
    <s v="Barbara"/>
    <s v="Taylor"/>
  </r>
  <r>
    <n v="2033"/>
    <s v="LINDA DAVIS "/>
    <x v="1"/>
    <s v="phoenix"/>
    <s v="az"/>
    <s v="Laptop@@"/>
    <n v="899"/>
    <n v="5"/>
    <n v="4495"/>
    <s v="2/5/24"/>
    <s v=" customer33@company.com "/>
    <s v="LINDA DAVIS "/>
    <s v="LINDA DAVIS"/>
    <x v="26"/>
    <x v="1"/>
    <s v="Laptop"/>
    <b v="1"/>
    <s v="Phoenix; AZ"/>
    <s v="Linda"/>
    <s v="Davis"/>
  </r>
  <r>
    <n v="2034"/>
    <s v="James   jackson"/>
    <x v="3"/>
    <s v="los angeles"/>
    <s v="ca"/>
    <s v="Phone##"/>
    <n v="699"/>
    <n v="1"/>
    <n v="699"/>
    <s v="2/6/24"/>
    <s v=" customer34@company.com "/>
    <s v="James   jackson"/>
    <s v="James jackson"/>
    <x v="27"/>
    <x v="2"/>
    <s v="Phone"/>
    <b v="1"/>
    <s v="Los Angeles; CA"/>
    <s v="James"/>
    <s v="Jackson"/>
  </r>
  <r>
    <n v="2035"/>
    <s v="MARY  DAVIS "/>
    <x v="3"/>
    <s v="san diego"/>
    <s v="ca"/>
    <s v="Keyboard%%"/>
    <n v="89"/>
    <n v="2"/>
    <n v="178"/>
    <s v="2/7/24"/>
    <s v=" customer35@company.com "/>
    <s v="MARY  DAVIS "/>
    <s v="MARY DAVIS"/>
    <x v="22"/>
    <x v="0"/>
    <s v="Keyboard"/>
    <b v="1"/>
    <s v="San Diego; CA"/>
    <s v="Mary"/>
    <s v="Davis"/>
  </r>
  <r>
    <n v="2036"/>
    <s v="barbara JOHNSON"/>
    <x v="0"/>
    <s v="chicago"/>
    <s v="il"/>
    <s v="Phone##"/>
    <n v="699"/>
    <n v="5"/>
    <n v="3495"/>
    <s v="2/8/24"/>
    <s v=" customer36@company.com "/>
    <s v="barbara JOHNSON"/>
    <s v="barbara JOHNSON"/>
    <x v="28"/>
    <x v="2"/>
    <s v="Phone"/>
    <b v="1"/>
    <s v="Chicago; IL"/>
    <s v="Barbara"/>
    <s v="Johnson"/>
  </r>
  <r>
    <n v="2037"/>
    <s v=" william TAYLOR"/>
    <x v="3"/>
    <s v="philadelphia"/>
    <s v="pa"/>
    <s v="Keyboard%%"/>
    <n v="89"/>
    <n v="3"/>
    <n v="267"/>
    <s v="2/9/24"/>
    <s v=" customer37@company.com "/>
    <s v=" william TAYLOR"/>
    <s v="william TAYLOR"/>
    <x v="29"/>
    <x v="0"/>
    <s v="Keyboard"/>
    <b v="1"/>
    <s v="Philadelphia; PA"/>
    <s v="William"/>
    <s v="Taylor"/>
  </r>
  <r>
    <n v="2038"/>
    <s v="MARY   moore"/>
    <x v="3"/>
    <s v="phoenix"/>
    <s v="az"/>
    <s v="Phone##"/>
    <n v="699"/>
    <n v="3"/>
    <n v="2097"/>
    <s v="2/10/24"/>
    <s v=" customer38@company.com "/>
    <s v="MARY   moore"/>
    <s v="MARY moore"/>
    <x v="30"/>
    <x v="2"/>
    <s v="Phone"/>
    <b v="1"/>
    <s v="Phoenix; AZ"/>
    <s v="Mary"/>
    <s v="Moore"/>
  </r>
  <r>
    <n v="2039"/>
    <s v=" john  jackson"/>
    <x v="0"/>
    <s v="phoenix"/>
    <s v="az"/>
    <s v="Laptop@@"/>
    <n v="899"/>
    <n v="1"/>
    <n v="899"/>
    <s v="2/11/24"/>
    <s v=" customer39@company.com "/>
    <s v=" john  jackson"/>
    <s v="john jackson"/>
    <x v="31"/>
    <x v="1"/>
    <s v="Laptop"/>
    <b v="1"/>
    <s v="Phoenix; AZ"/>
    <s v="John"/>
    <s v="Jackson"/>
  </r>
  <r>
    <n v="2040"/>
    <s v="MICHAEL   moore"/>
    <x v="3"/>
    <s v="houston"/>
    <s v="tx"/>
    <s v="Keyboard%%"/>
    <n v="89"/>
    <n v="3"/>
    <n v="267"/>
    <s v="2/12/24"/>
    <s v=" customer40@company.com "/>
    <s v="MICHAEL   moore"/>
    <s v="MICHAEL moore"/>
    <x v="16"/>
    <x v="0"/>
    <s v="Keyboard"/>
    <b v="1"/>
    <s v="Houston; TX"/>
    <s v="Michael"/>
    <s v="Moore"/>
  </r>
  <r>
    <n v="2041"/>
    <s v="LINDA wilson"/>
    <x v="1"/>
    <s v="houston"/>
    <s v="tx"/>
    <s v="Keyboard%%"/>
    <n v="89"/>
    <n v="2"/>
    <n v="178"/>
    <s v="2/13/24"/>
    <s v=" customer41@company.com "/>
    <s v="LINDA wilson"/>
    <s v="LINDA wilson"/>
    <x v="32"/>
    <x v="0"/>
    <s v="Keyboard"/>
    <b v="1"/>
    <s v="Houston; TX"/>
    <s v="Linda"/>
    <s v="Wilson"/>
  </r>
  <r>
    <n v="2042"/>
    <s v="MICHAEL  Anderson "/>
    <x v="0"/>
    <s v="los angeles"/>
    <s v="ca"/>
    <s v="Keyboard%%"/>
    <n v="89"/>
    <n v="1"/>
    <n v="89"/>
    <s v="2/14/24"/>
    <s v=" customer42@company.com "/>
    <s v="MICHAEL  Anderson "/>
    <s v="MICHAEL Anderson"/>
    <x v="33"/>
    <x v="0"/>
    <s v="Keyboard"/>
    <b v="1"/>
    <s v="Los Angeles; CA"/>
    <s v="Michael"/>
    <s v="Anderson"/>
  </r>
  <r>
    <n v="2043"/>
    <s v="ELIZABETH  DAVIS "/>
    <x v="3"/>
    <s v="chicago"/>
    <s v="il"/>
    <s v="Laptop@@"/>
    <n v="899"/>
    <n v="5"/>
    <n v="4495"/>
    <s v="2/15/24"/>
    <s v=" customer43@company.com "/>
    <s v="ELIZABETH  DAVIS "/>
    <s v="ELIZABETH DAVIS"/>
    <x v="34"/>
    <x v="1"/>
    <s v="Laptop"/>
    <b v="1"/>
    <s v="Chicago; IL"/>
    <s v="Elizabeth"/>
    <s v="Davis"/>
  </r>
  <r>
    <n v="2044"/>
    <s v="James   moore"/>
    <x v="0"/>
    <s v="san antonio"/>
    <s v="tx"/>
    <s v="Tablet!!"/>
    <n v="499"/>
    <n v="4"/>
    <n v="1996"/>
    <s v="2/16/24"/>
    <s v=" customer44@company.com "/>
    <s v="James   moore"/>
    <s v="James moore"/>
    <x v="21"/>
    <x v="3"/>
    <s v="Tablet"/>
    <b v="1"/>
    <s v="San Antonio; TX"/>
    <s v="James"/>
    <s v="Moore"/>
  </r>
  <r>
    <n v="2045"/>
    <s v="ELIZABETH   jackson"/>
    <x v="1"/>
    <s v="phoenix"/>
    <s v="az"/>
    <s v="Keyboard%%"/>
    <n v="89"/>
    <n v="3"/>
    <n v="267"/>
    <s v="2/17/24"/>
    <s v=" customer45@company.com "/>
    <s v="ELIZABETH   jackson"/>
    <s v="ELIZABETH jackson"/>
    <x v="35"/>
    <x v="0"/>
    <s v="Keyboard"/>
    <b v="1"/>
    <s v="Phoenix; AZ"/>
    <s v="Elizabeth"/>
    <s v="Jackson"/>
  </r>
  <r>
    <n v="2047"/>
    <s v="MARY  TAYLOR"/>
    <x v="3"/>
    <s v="phoenix"/>
    <s v="az"/>
    <s v="Tablet!!"/>
    <n v="499"/>
    <n v="4"/>
    <n v="1996"/>
    <s v="2/19/24"/>
    <s v=" customer47@company.com "/>
    <s v="MARY  TAYLOR"/>
    <s v="MARY TAYLOR"/>
    <x v="36"/>
    <x v="3"/>
    <s v="Tablet"/>
    <b v="1"/>
    <s v="Phoenix; AZ"/>
    <s v="Mary"/>
    <s v="Taylor"/>
  </r>
  <r>
    <n v="2048"/>
    <s v="ELIZABETH  THOMAS"/>
    <x v="2"/>
    <s v="philadelphia"/>
    <s v="pa"/>
    <s v="Keyboard%%"/>
    <n v="89"/>
    <n v="1"/>
    <n v="89"/>
    <s v="2/20/24"/>
    <s v=" customer48@company.com "/>
    <s v="ELIZABETH  THOMAS"/>
    <s v="ELIZABETH THOMAS"/>
    <x v="37"/>
    <x v="0"/>
    <s v="Keyboard"/>
    <b v="1"/>
    <s v="Philadelphia; PA"/>
    <s v="Elizabeth"/>
    <s v="Thomas"/>
  </r>
  <r>
    <n v="2049"/>
    <s v="barbara smith "/>
    <x v="3"/>
    <s v="san diego"/>
    <s v="ca"/>
    <s v="Monitor$$"/>
    <n v="299"/>
    <n v="4"/>
    <n v="1196"/>
    <s v="2/21/24"/>
    <s v=" customer49@company.com "/>
    <s v="barbara smith "/>
    <s v="barbara smith"/>
    <x v="38"/>
    <x v="4"/>
    <s v="Monitor"/>
    <b v="1"/>
    <s v="San Diego; CA"/>
    <s v="Barbara"/>
    <s v="Smith"/>
  </r>
  <r>
    <n v="2050"/>
    <s v="LINDA DAVIS "/>
    <x v="2"/>
    <s v="houston"/>
    <s v="tx"/>
    <s v="Keyboard%%"/>
    <n v="89"/>
    <n v="4"/>
    <n v="356"/>
    <s v="2/22/24"/>
    <s v=" customer50@company.com "/>
    <s v="LINDA DAVIS "/>
    <s v="LINDA DAVIS"/>
    <x v="26"/>
    <x v="0"/>
    <s v="Keyboard"/>
    <b v="1"/>
    <s v="Houston; TX"/>
    <s v="Linda"/>
    <s v="Davis"/>
  </r>
  <r>
    <n v="2051"/>
    <s v=" robert   brown"/>
    <x v="3"/>
    <s v="san diego"/>
    <s v="ca"/>
    <s v="Monitor$$"/>
    <n v="299"/>
    <n v="2"/>
    <n v="598"/>
    <s v="2/23/24"/>
    <s v=" customer51@company.com "/>
    <s v=" robert   brown"/>
    <s v="robert brown"/>
    <x v="39"/>
    <x v="4"/>
    <s v="Monitor"/>
    <b v="1"/>
    <s v="San Diego; CA"/>
    <s v="Robert"/>
    <s v="Brown"/>
  </r>
  <r>
    <n v="2052"/>
    <s v="James  wilson"/>
    <x v="0"/>
    <s v="los angeles"/>
    <s v="ca"/>
    <s v="Keyboard%%"/>
    <n v="89"/>
    <n v="5"/>
    <n v="445"/>
    <s v="2/24/24"/>
    <s v=" customer52@company.com "/>
    <s v="James  wilson"/>
    <s v="James wilson"/>
    <x v="40"/>
    <x v="0"/>
    <s v="Keyboard"/>
    <b v="1"/>
    <s v="Los Angeles; CA"/>
    <s v="James"/>
    <s v="Wilson"/>
  </r>
  <r>
    <n v="2053"/>
    <s v=" john wilson"/>
    <x v="3"/>
    <s v="chicago"/>
    <s v="il"/>
    <s v="Phone##"/>
    <n v="699"/>
    <n v="2"/>
    <n v="1398"/>
    <s v="2/25/24"/>
    <s v=" customer53@company.com "/>
    <s v=" john wilson"/>
    <s v="john wilson"/>
    <x v="41"/>
    <x v="2"/>
    <s v="Phone"/>
    <b v="1"/>
    <s v="Chicago; IL"/>
    <s v="John"/>
    <s v="Wilson"/>
  </r>
  <r>
    <n v="2054"/>
    <s v=" william wilson"/>
    <x v="0"/>
    <s v="san diego"/>
    <s v="ca"/>
    <s v="Laptop@@"/>
    <n v="899"/>
    <n v="4"/>
    <n v="3596"/>
    <s v="2/26/24"/>
    <s v=" customer54@company.com "/>
    <s v=" william wilson"/>
    <s v="william wilson"/>
    <x v="42"/>
    <x v="1"/>
    <s v="Laptop"/>
    <b v="1"/>
    <s v="San Diego; CA"/>
    <s v="William"/>
    <s v="Wilson"/>
  </r>
  <r>
    <n v="2055"/>
    <s v=" patricia wilson"/>
    <x v="2"/>
    <s v="san antonio"/>
    <s v="tx"/>
    <s v="Phone##"/>
    <n v="699"/>
    <n v="5"/>
    <n v="3495"/>
    <s v="2/27/24"/>
    <s v=" customer55@company.com "/>
    <s v=" patricia wilson"/>
    <s v="patricia wilson"/>
    <x v="43"/>
    <x v="2"/>
    <s v="Phone"/>
    <b v="1"/>
    <s v="San Antonio; TX"/>
    <s v="Patricia"/>
    <s v="Wilson"/>
  </r>
  <r>
    <n v="2056"/>
    <s v="LINDA JOHNSON"/>
    <x v="2"/>
    <s v="philadelphia"/>
    <s v="pa"/>
    <s v="Keyboard%%"/>
    <n v="89"/>
    <n v="3"/>
    <n v="267"/>
    <s v="2/28/24"/>
    <s v=" customer56@company.com "/>
    <s v="LINDA JOHNSON"/>
    <s v="LINDA JOHNSON"/>
    <x v="44"/>
    <x v="0"/>
    <s v="Keyboard"/>
    <b v="1"/>
    <s v="Philadelphia; PA"/>
    <s v="Linda"/>
    <s v="Johnson"/>
  </r>
  <r>
    <n v="2057"/>
    <s v=" john wilson"/>
    <x v="0"/>
    <s v="philadelphia"/>
    <s v="pa"/>
    <s v="Keyboard%%"/>
    <n v="89"/>
    <n v="3"/>
    <n v="267"/>
    <s v="2/1/24"/>
    <s v=" customer57@company.com "/>
    <s v=" john wilson"/>
    <s v="john wilson"/>
    <x v="41"/>
    <x v="0"/>
    <s v="Keyboard"/>
    <b v="1"/>
    <s v="Philadelphia; PA"/>
    <s v="John"/>
    <s v="Wilson"/>
  </r>
  <r>
    <n v="2058"/>
    <s v="LINDA  brown"/>
    <x v="1"/>
    <s v="houston"/>
    <s v="tx"/>
    <s v="Tablet!!"/>
    <n v="499"/>
    <n v="3"/>
    <n v="1497"/>
    <s v="2/2/24"/>
    <s v=" customer58@company.com "/>
    <s v="LINDA  brown"/>
    <s v="LINDA brown"/>
    <x v="45"/>
    <x v="3"/>
    <s v="Tablet"/>
    <b v="1"/>
    <s v="Houston; TX"/>
    <s v="Linda"/>
    <s v="Brown"/>
  </r>
  <r>
    <n v="2059"/>
    <s v="MICHAEL   moore"/>
    <x v="0"/>
    <s v="san diego"/>
    <s v="ca"/>
    <s v="Tablet!!"/>
    <n v="499"/>
    <n v="1"/>
    <n v="499"/>
    <s v="2/3/24"/>
    <s v=" customer59@company.com "/>
    <s v="MICHAEL   moore"/>
    <s v="MICHAEL moore"/>
    <x v="16"/>
    <x v="3"/>
    <s v="Tablet"/>
    <b v="1"/>
    <s v="San Diego; CA"/>
    <s v="Michael"/>
    <s v="Moore"/>
  </r>
  <r>
    <n v="2060"/>
    <s v="barbara TAYLOR"/>
    <x v="2"/>
    <s v="los angeles"/>
    <s v="ca"/>
    <s v="Phone##"/>
    <n v="699"/>
    <n v="2"/>
    <n v="1398"/>
    <s v="2/4/24"/>
    <s v=" customer60@company.com "/>
    <s v="barbara TAYLOR"/>
    <s v="barbara TAYLOR"/>
    <x v="25"/>
    <x v="2"/>
    <s v="Phone"/>
    <b v="1"/>
    <s v="Los Angeles; CA"/>
    <s v="Barbara"/>
    <s v="Taylor"/>
  </r>
  <r>
    <n v="2061"/>
    <s v="barbara THOMAS"/>
    <x v="2"/>
    <s v="phoenix"/>
    <s v="az"/>
    <s v="Keyboard%%"/>
    <n v="89"/>
    <n v="2"/>
    <n v="178"/>
    <s v="2/5/24"/>
    <s v=" customer61@company.com "/>
    <s v="barbara THOMAS"/>
    <s v="barbara THOMAS"/>
    <x v="12"/>
    <x v="0"/>
    <s v="Keyboard"/>
    <b v="1"/>
    <s v="Phoenix; AZ"/>
    <s v="Barbara"/>
    <s v="Thomas"/>
  </r>
  <r>
    <n v="2062"/>
    <s v=" robert   moore"/>
    <x v="3"/>
    <s v="houston"/>
    <s v="tx"/>
    <s v="Monitor$$"/>
    <n v="299"/>
    <n v="5"/>
    <n v="1495"/>
    <s v="2/6/24"/>
    <s v=" customer62@company.com "/>
    <s v=" robert   moore"/>
    <s v="robert moore"/>
    <x v="46"/>
    <x v="4"/>
    <s v="Monitor"/>
    <b v="1"/>
    <s v="Houston; TX"/>
    <s v="Robert"/>
    <s v="Moore"/>
  </r>
  <r>
    <n v="2063"/>
    <s v="James  smith "/>
    <x v="3"/>
    <s v="philadelphia"/>
    <s v="pa"/>
    <s v="Phone##"/>
    <n v="699"/>
    <n v="5"/>
    <n v="3495"/>
    <s v="2/7/24"/>
    <s v=" customer63@company.com "/>
    <s v="James  smith "/>
    <s v="James smith"/>
    <x v="47"/>
    <x v="2"/>
    <s v="Phone"/>
    <b v="1"/>
    <s v="Philadelphia; PA"/>
    <s v="James"/>
    <s v="Smith"/>
  </r>
  <r>
    <n v="2064"/>
    <s v=" john  moore"/>
    <x v="3"/>
    <s v="houston"/>
    <s v="tx"/>
    <s v="Tablet!!"/>
    <n v="499"/>
    <n v="5"/>
    <n v="2495"/>
    <s v="2/8/24"/>
    <s v=" customer64@company.com "/>
    <s v=" john  moore"/>
    <s v="john moore"/>
    <x v="48"/>
    <x v="3"/>
    <s v="Tablet"/>
    <b v="1"/>
    <s v="Houston; TX"/>
    <s v="John"/>
    <s v="Moore"/>
  </r>
  <r>
    <n v="2065"/>
    <s v="MICHAEL  TAYLOR"/>
    <x v="1"/>
    <s v="los angeles"/>
    <s v="ca"/>
    <s v="Phone##"/>
    <n v="699"/>
    <n v="5"/>
    <n v="3495"/>
    <s v="2/9/24"/>
    <s v=" customer65@company.com "/>
    <s v="MICHAEL  TAYLOR"/>
    <s v="MICHAEL TAYLOR"/>
    <x v="6"/>
    <x v="2"/>
    <s v="Phone"/>
    <b v="1"/>
    <s v="Los Angeles; CA"/>
    <s v="Michael"/>
    <s v="Taylor"/>
  </r>
  <r>
    <n v="2066"/>
    <s v="James  Anderson "/>
    <x v="0"/>
    <s v="phoenix"/>
    <s v="az"/>
    <s v="Monitor$$"/>
    <n v="299"/>
    <n v="5"/>
    <n v="1495"/>
    <s v="2/10/24"/>
    <s v=" customer66@company.com "/>
    <s v="James  Anderson "/>
    <s v="James Anderson"/>
    <x v="49"/>
    <x v="4"/>
    <s v="Monitor"/>
    <b v="1"/>
    <s v="Phoenix; AZ"/>
    <s v="James"/>
    <s v="Anderson"/>
  </r>
  <r>
    <n v="2067"/>
    <s v=" patricia JOHNSON"/>
    <x v="1"/>
    <s v="chicago"/>
    <s v="il"/>
    <s v="Monitor$$"/>
    <n v="299"/>
    <n v="1"/>
    <n v="299"/>
    <s v="2/11/24"/>
    <s v=" customer67@company.com "/>
    <s v=" patricia JOHNSON"/>
    <s v="patricia JOHNSON"/>
    <x v="13"/>
    <x v="4"/>
    <s v="Monitor"/>
    <b v="1"/>
    <s v="Chicago; IL"/>
    <s v="Patricia"/>
    <s v="Johnson"/>
  </r>
  <r>
    <n v="2068"/>
    <s v=" patricia THOMAS"/>
    <x v="2"/>
    <s v="san diego"/>
    <s v="ca"/>
    <s v="Keyboard%%"/>
    <n v="89"/>
    <n v="2"/>
    <n v="178"/>
    <s v="2/12/24"/>
    <s v=" customer68@company.com "/>
    <s v=" patricia THOMAS"/>
    <s v="patricia THOMAS"/>
    <x v="50"/>
    <x v="0"/>
    <s v="Keyboard"/>
    <b v="1"/>
    <s v="San Diego; CA"/>
    <s v="Patricia"/>
    <s v="Thomas"/>
  </r>
  <r>
    <n v="2069"/>
    <s v="barbara  brown"/>
    <x v="1"/>
    <s v="philadelphia"/>
    <s v="pa"/>
    <s v="Phone##"/>
    <n v="699"/>
    <n v="1"/>
    <n v="699"/>
    <s v="2/13/24"/>
    <s v=" customer69@company.com "/>
    <s v="barbara  brown"/>
    <s v="barbara brown"/>
    <x v="51"/>
    <x v="2"/>
    <s v="Phone"/>
    <b v="1"/>
    <s v="Philadelphia; PA"/>
    <s v="Barbara"/>
    <s v="Brown"/>
  </r>
  <r>
    <n v="2070"/>
    <s v="LINDA smith "/>
    <x v="2"/>
    <s v="new york"/>
    <s v="ny"/>
    <s v="Keyboard%%"/>
    <n v="89"/>
    <n v="4"/>
    <n v="356"/>
    <s v="2/14/24"/>
    <s v=" customer70@company.com "/>
    <s v="LINDA smith "/>
    <s v="LINDA smith"/>
    <x v="52"/>
    <x v="0"/>
    <s v="Keyboard"/>
    <b v="1"/>
    <s v="New York; NY"/>
    <s v="Linda"/>
    <s v="Smith"/>
  </r>
  <r>
    <n v="2071"/>
    <s v=" john  moore"/>
    <x v="1"/>
    <s v="new york"/>
    <s v="ny"/>
    <s v="Phone##"/>
    <n v="699"/>
    <n v="3"/>
    <n v="2097"/>
    <s v="2/15/24"/>
    <s v=" customer71@company.com "/>
    <s v=" john  moore"/>
    <s v="john moore"/>
    <x v="48"/>
    <x v="2"/>
    <s v="Phone"/>
    <b v="1"/>
    <s v="New York; NY"/>
    <s v="John"/>
    <s v="Moore"/>
  </r>
  <r>
    <n v="2072"/>
    <s v=" john DAVIS "/>
    <x v="0"/>
    <s v="los angeles"/>
    <s v="ca"/>
    <s v="Phone##"/>
    <n v="699"/>
    <n v="2"/>
    <n v="1398"/>
    <s v="2/16/24"/>
    <s v=" customer72@company.com "/>
    <s v=" john DAVIS "/>
    <s v="john DAVIS"/>
    <x v="53"/>
    <x v="2"/>
    <s v="Phone"/>
    <b v="1"/>
    <s v="Los Angeles; CA"/>
    <s v="John"/>
    <s v="Davis"/>
  </r>
  <r>
    <n v="2073"/>
    <s v=" john Anderson "/>
    <x v="0"/>
    <s v="san antonio"/>
    <s v="tx"/>
    <s v="Monitor$$"/>
    <n v="299"/>
    <n v="5"/>
    <n v="1495"/>
    <s v="2/17/24"/>
    <s v=" customer73@company.com "/>
    <s v=" john Anderson "/>
    <s v="john Anderson"/>
    <x v="54"/>
    <x v="4"/>
    <s v="Monitor"/>
    <b v="1"/>
    <s v="San Antonio; TX"/>
    <s v="John"/>
    <s v="Anderson"/>
  </r>
  <r>
    <n v="2074"/>
    <s v="ELIZABETH   jackson"/>
    <x v="1"/>
    <s v="houston"/>
    <s v="tx"/>
    <s v="Laptop@@"/>
    <n v="899"/>
    <n v="2"/>
    <n v="1798"/>
    <s v="2/18/24"/>
    <s v=" customer74@company.com "/>
    <s v="ELIZABETH   jackson"/>
    <s v="ELIZABETH jackson"/>
    <x v="35"/>
    <x v="1"/>
    <s v="Laptop"/>
    <b v="1"/>
    <s v="Houston; TX"/>
    <s v="Elizabeth"/>
    <s v="Jackson"/>
  </r>
  <r>
    <n v="2075"/>
    <s v="ELIZABETH  TAYLOR"/>
    <x v="1"/>
    <s v="new york"/>
    <s v="ny"/>
    <s v="Laptop@@"/>
    <n v="899"/>
    <n v="5"/>
    <n v="4495"/>
    <s v="2/19/24"/>
    <s v=" customer75@company.com "/>
    <s v="ELIZABETH  TAYLOR"/>
    <s v="ELIZABETH TAYLOR"/>
    <x v="55"/>
    <x v="1"/>
    <s v="Laptop"/>
    <b v="1"/>
    <s v="New York; NY"/>
    <s v="Elizabeth"/>
    <s v="Taylor"/>
  </r>
  <r>
    <n v="2076"/>
    <s v="LINDA TAYLOR"/>
    <x v="3"/>
    <s v="houston"/>
    <s v="tx"/>
    <s v="Tablet!!"/>
    <n v="499"/>
    <n v="3"/>
    <n v="1497"/>
    <s v="2/20/24"/>
    <s v=" customer76@company.com "/>
    <s v="LINDA TAYLOR"/>
    <s v="LINDA TAYLOR"/>
    <x v="56"/>
    <x v="3"/>
    <s v="Tablet"/>
    <b v="1"/>
    <s v="Houston; TX"/>
    <s v="Linda"/>
    <s v="Taylor"/>
  </r>
  <r>
    <n v="2077"/>
    <s v=" john DAVIS "/>
    <x v="0"/>
    <s v="san diego"/>
    <s v="ca"/>
    <s v="Keyboard%%"/>
    <n v="89"/>
    <n v="5"/>
    <n v="445"/>
    <s v="2/21/24"/>
    <s v=" customer77@company.com "/>
    <s v=" john DAVIS "/>
    <s v="john DAVIS"/>
    <x v="53"/>
    <x v="0"/>
    <s v="Keyboard"/>
    <b v="1"/>
    <s v="San Diego; CA"/>
    <s v="John"/>
    <s v="Davis"/>
  </r>
  <r>
    <n v="2078"/>
    <s v="ELIZABETH   jackson"/>
    <x v="2"/>
    <s v="san diego"/>
    <s v="ca"/>
    <s v="Monitor$$"/>
    <n v="299"/>
    <n v="5"/>
    <n v="1495"/>
    <s v="2/22/24"/>
    <s v=" customer78@company.com "/>
    <s v="ELIZABETH   jackson"/>
    <s v="ELIZABETH jackson"/>
    <x v="35"/>
    <x v="4"/>
    <s v="Monitor"/>
    <b v="1"/>
    <s v="San Diego; CA"/>
    <s v="Elizabeth"/>
    <s v="Jackson"/>
  </r>
  <r>
    <n v="2079"/>
    <s v="barbara wilson"/>
    <x v="1"/>
    <s v="san antonio"/>
    <s v="tx"/>
    <s v="Monitor$$"/>
    <n v="299"/>
    <n v="2"/>
    <n v="598"/>
    <s v="2/23/24"/>
    <s v=" customer79@company.com "/>
    <s v="barbara wilson"/>
    <s v="barbara wilson"/>
    <x v="57"/>
    <x v="4"/>
    <s v="Monitor"/>
    <b v="1"/>
    <s v="San Antonio; TX"/>
    <s v="Barbara"/>
    <s v="Wilson"/>
  </r>
  <r>
    <n v="2080"/>
    <s v=" william THOMAS"/>
    <x v="2"/>
    <s v="chicago"/>
    <s v="il"/>
    <s v="Laptop@@"/>
    <n v="899"/>
    <n v="4"/>
    <n v="3596"/>
    <s v="2/24/24"/>
    <s v=" customer80@company.com "/>
    <s v=" william THOMAS"/>
    <s v="william THOMAS"/>
    <x v="58"/>
    <x v="1"/>
    <s v="Laptop"/>
    <b v="1"/>
    <s v="Chicago; IL"/>
    <s v="William"/>
    <s v="Thomas"/>
  </r>
  <r>
    <n v="2081"/>
    <s v="LINDA  moore"/>
    <x v="0"/>
    <s v="san antonio"/>
    <s v="tx"/>
    <s v="Tablet!!"/>
    <n v="499"/>
    <n v="1"/>
    <n v="499"/>
    <s v="2/25/24"/>
    <s v=" customer81@company.com "/>
    <s v="LINDA  moore"/>
    <s v="LINDA moore"/>
    <x v="20"/>
    <x v="3"/>
    <s v="Tablet"/>
    <b v="1"/>
    <s v="San Antonio; TX"/>
    <s v="Linda"/>
    <s v="Moore"/>
  </r>
  <r>
    <n v="2082"/>
    <s v="barbara THOMAS"/>
    <x v="1"/>
    <s v="san antonio"/>
    <s v="tx"/>
    <s v="Keyboard%%"/>
    <n v="89"/>
    <n v="2"/>
    <n v="178"/>
    <s v="2/26/24"/>
    <s v=" customer82@company.com "/>
    <s v="barbara THOMAS"/>
    <s v="barbara THOMAS"/>
    <x v="12"/>
    <x v="0"/>
    <s v="Keyboard"/>
    <b v="1"/>
    <s v="San Antonio; TX"/>
    <s v="Barbara"/>
    <s v="Thomas"/>
  </r>
  <r>
    <n v="2083"/>
    <s v="MICHAEL   moore"/>
    <x v="0"/>
    <s v="san antonio"/>
    <s v="tx"/>
    <s v="Tablet!!"/>
    <n v="499"/>
    <n v="3"/>
    <n v="1497"/>
    <s v="2/27/24"/>
    <s v=" customer83@company.com "/>
    <s v="MICHAEL   moore"/>
    <s v="MICHAEL moore"/>
    <x v="16"/>
    <x v="3"/>
    <s v="Tablet"/>
    <b v="1"/>
    <s v="San Antonio; TX"/>
    <s v="Michael"/>
    <s v="Moore"/>
  </r>
  <r>
    <n v="2084"/>
    <s v="LINDA wilson"/>
    <x v="3"/>
    <s v="san diego"/>
    <s v="ca"/>
    <s v="Tablet!!"/>
    <n v="499"/>
    <n v="4"/>
    <n v="1996"/>
    <s v="2/28/24"/>
    <s v=" customer84@company.com "/>
    <s v="LINDA wilson"/>
    <s v="LINDA wilson"/>
    <x v="32"/>
    <x v="3"/>
    <s v="Tablet"/>
    <b v="1"/>
    <s v="San Diego; CA"/>
    <s v="Linda"/>
    <s v="Wilson"/>
  </r>
  <r>
    <n v="2085"/>
    <s v="LINDA smith "/>
    <x v="2"/>
    <s v="los angeles"/>
    <s v="ca"/>
    <s v="Tablet!!"/>
    <n v="499"/>
    <n v="3"/>
    <n v="1497"/>
    <s v="2/1/24"/>
    <s v=" customer85@company.com "/>
    <s v="LINDA smith "/>
    <s v="LINDA smith"/>
    <x v="52"/>
    <x v="3"/>
    <s v="Tablet"/>
    <b v="1"/>
    <s v="Los Angeles; CA"/>
    <s v="Linda"/>
    <s v="Smith"/>
  </r>
  <r>
    <n v="2086"/>
    <s v="ELIZABETH   moore"/>
    <x v="0"/>
    <s v="philadelphia"/>
    <s v="pa"/>
    <s v="Laptop@@"/>
    <n v="899"/>
    <n v="1"/>
    <n v="899"/>
    <s v="2/2/24"/>
    <s v=" customer86@company.com "/>
    <s v="ELIZABETH   moore"/>
    <s v="ELIZABETH moore"/>
    <x v="10"/>
    <x v="1"/>
    <s v="Laptop"/>
    <b v="1"/>
    <s v="Philadelphia; PA"/>
    <s v="Elizabeth"/>
    <s v="Moore"/>
  </r>
  <r>
    <n v="2087"/>
    <s v="barbara wilson"/>
    <x v="1"/>
    <s v="phoenix"/>
    <s v="az"/>
    <s v="Laptop@@"/>
    <n v="899"/>
    <n v="4"/>
    <n v="3596"/>
    <s v="2/3/24"/>
    <s v=" customer87@company.com "/>
    <s v="barbara wilson"/>
    <s v="barbara wilson"/>
    <x v="57"/>
    <x v="1"/>
    <s v="Laptop"/>
    <b v="1"/>
    <s v="Phoenix; AZ"/>
    <s v="Barbara"/>
    <s v="Wilson"/>
  </r>
  <r>
    <n v="2088"/>
    <s v="LINDA  moore"/>
    <x v="1"/>
    <s v="houston"/>
    <s v="tx"/>
    <s v="Laptop@@"/>
    <n v="899"/>
    <n v="5"/>
    <n v="4495"/>
    <s v="2/4/24"/>
    <s v=" customer88@company.com "/>
    <s v="LINDA  moore"/>
    <s v="LINDA moore"/>
    <x v="20"/>
    <x v="1"/>
    <s v="Laptop"/>
    <b v="1"/>
    <s v="Houston; TX"/>
    <s v="Linda"/>
    <s v="Moore"/>
  </r>
  <r>
    <n v="2089"/>
    <s v="MARY  smith "/>
    <x v="2"/>
    <s v="los angeles"/>
    <s v="ca"/>
    <s v="Tablet!!"/>
    <n v="499"/>
    <n v="1"/>
    <n v="499"/>
    <s v="2/5/24"/>
    <s v=" customer89@company.com "/>
    <s v="MARY  smith "/>
    <s v="MARY smith"/>
    <x v="59"/>
    <x v="3"/>
    <s v="Tablet"/>
    <b v="1"/>
    <s v="Los Angeles; CA"/>
    <s v="Mary"/>
    <s v="Smith"/>
  </r>
  <r>
    <n v="2090"/>
    <s v=" john  brown"/>
    <x v="2"/>
    <s v="chicago"/>
    <s v="il"/>
    <s v="Phone##"/>
    <n v="699"/>
    <n v="4"/>
    <n v="2796"/>
    <s v="2/6/24"/>
    <s v=" customer90@company.com "/>
    <s v=" john  brown"/>
    <s v="john brown"/>
    <x v="60"/>
    <x v="2"/>
    <s v="Phone"/>
    <b v="1"/>
    <s v="Chicago; IL"/>
    <s v="John"/>
    <s v="Brown"/>
  </r>
  <r>
    <n v="2091"/>
    <s v="James  DAVIS "/>
    <x v="1"/>
    <s v="houston"/>
    <s v="tx"/>
    <s v="Laptop@@"/>
    <n v="899"/>
    <n v="1"/>
    <n v="899"/>
    <s v="2/7/24"/>
    <s v=" customer91@company.com "/>
    <s v="James  DAVIS "/>
    <s v="James DAVIS"/>
    <x v="61"/>
    <x v="1"/>
    <s v="Laptop"/>
    <b v="1"/>
    <s v="Houston; TX"/>
    <s v="James"/>
    <s v="Davis"/>
  </r>
  <r>
    <n v="2092"/>
    <s v="LINDA THOMAS"/>
    <x v="0"/>
    <s v="philadelphia"/>
    <s v="pa"/>
    <s v="Laptop@@"/>
    <n v="899"/>
    <n v="5"/>
    <n v="4495"/>
    <s v="2/8/24"/>
    <s v=" customer92@company.com "/>
    <s v="LINDA THOMAS"/>
    <s v="LINDA THOMAS"/>
    <x v="62"/>
    <x v="1"/>
    <s v="Laptop"/>
    <b v="1"/>
    <s v="Philadelphia; PA"/>
    <s v="Linda"/>
    <s v="Thomas"/>
  </r>
  <r>
    <n v="2093"/>
    <s v=" patricia wilson"/>
    <x v="0"/>
    <s v="chicago"/>
    <s v="il"/>
    <s v="Laptop@@"/>
    <n v="899"/>
    <n v="3"/>
    <n v="2697"/>
    <s v="2/9/24"/>
    <s v=" customer93@company.com "/>
    <s v=" patricia wilson"/>
    <s v="patricia wilson"/>
    <x v="43"/>
    <x v="1"/>
    <s v="Laptop"/>
    <b v="1"/>
    <s v="Chicago; IL"/>
    <s v="Patricia"/>
    <s v="Wilson"/>
  </r>
  <r>
    <n v="2094"/>
    <s v="MICHAEL  THOMAS"/>
    <x v="1"/>
    <s v="new york"/>
    <s v="ny"/>
    <s v="Phone##"/>
    <n v="699"/>
    <n v="1"/>
    <n v="699"/>
    <s v="2/10/24"/>
    <s v=" customer94@company.com "/>
    <s v="MICHAEL  THOMAS"/>
    <s v="MICHAEL THOMAS"/>
    <x v="3"/>
    <x v="2"/>
    <s v="Phone"/>
    <b v="1"/>
    <s v="New York; NY"/>
    <s v="Michael"/>
    <s v="Thomas"/>
  </r>
  <r>
    <n v="2095"/>
    <s v=" patricia JOHNSON"/>
    <x v="2"/>
    <s v="philadelphia"/>
    <s v="pa"/>
    <s v="Keyboard%%"/>
    <n v="89"/>
    <n v="1"/>
    <n v="89"/>
    <s v="2/11/24"/>
    <s v=" customer95@company.com "/>
    <s v=" patricia JOHNSON"/>
    <s v="patricia JOHNSON"/>
    <x v="13"/>
    <x v="0"/>
    <s v="Keyboard"/>
    <b v="1"/>
    <s v="Philadelphia; PA"/>
    <s v="Patricia"/>
    <s v="Johnson"/>
  </r>
  <r>
    <n v="2096"/>
    <s v=" john  moore"/>
    <x v="2"/>
    <s v="phoenix"/>
    <s v="az"/>
    <s v="Keyboard%%"/>
    <n v="89"/>
    <n v="4"/>
    <n v="356"/>
    <s v="2/12/24"/>
    <s v=" customer96@company.com "/>
    <s v=" john  moore"/>
    <s v="john moore"/>
    <x v="48"/>
    <x v="0"/>
    <s v="Keyboard"/>
    <b v="1"/>
    <s v="Phoenix; AZ"/>
    <s v="John"/>
    <s v="Moore"/>
  </r>
  <r>
    <n v="2097"/>
    <s v="MARY  THOMAS"/>
    <x v="2"/>
    <s v="new york"/>
    <s v="ny"/>
    <s v="Monitor$$"/>
    <n v="299"/>
    <n v="3"/>
    <n v="897"/>
    <s v="2/13/24"/>
    <s v=" customer97@company.com "/>
    <s v="MARY  THOMAS"/>
    <s v="MARY THOMAS"/>
    <x v="63"/>
    <x v="4"/>
    <s v="Monitor"/>
    <b v="1"/>
    <s v="New York; NY"/>
    <s v="Mary"/>
    <s v="Thomas"/>
  </r>
  <r>
    <n v="2098"/>
    <s v=" william  jackson"/>
    <x v="1"/>
    <s v="san antonio"/>
    <s v="tx"/>
    <s v="Phone##"/>
    <n v="699"/>
    <n v="2"/>
    <n v="1398"/>
    <s v="2/14/24"/>
    <s v=" customer98@company.com "/>
    <s v=" william  jackson"/>
    <s v="william jackson"/>
    <x v="64"/>
    <x v="2"/>
    <s v="Phone"/>
    <b v="1"/>
    <s v="San Antonio; TX"/>
    <s v="William"/>
    <s v="Jackson"/>
  </r>
  <r>
    <n v="2099"/>
    <s v=" robert   moore"/>
    <x v="1"/>
    <s v="chicago"/>
    <s v="il"/>
    <s v="Tablet!!"/>
    <n v="499"/>
    <n v="5"/>
    <n v="2495"/>
    <s v="2/15/24"/>
    <s v=" customer99@company.com "/>
    <s v=" robert   moore"/>
    <s v="robert moore"/>
    <x v="46"/>
    <x v="3"/>
    <s v="Tablet"/>
    <b v="1"/>
    <s v="Chicago; IL"/>
    <s v="Robert"/>
    <s v="Moore"/>
  </r>
  <r>
    <n v="2100"/>
    <s v=" patricia JOHNSON"/>
    <x v="0"/>
    <s v="los angeles"/>
    <s v="ca"/>
    <s v="Monitor$$"/>
    <n v="299"/>
    <n v="1"/>
    <n v="299"/>
    <s v="2/16/24"/>
    <s v=" customer100@company.com "/>
    <s v=" patricia JOHNSON"/>
    <s v="patricia JOHNSON"/>
    <x v="13"/>
    <x v="4"/>
    <s v="Monitor"/>
    <b v="1"/>
    <s v="Los Angeles; CA"/>
    <s v="Patricia"/>
    <s v="John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27950-8E35-EE4B-A59E-16C408E6E8E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66">
        <item x="51"/>
        <item x="11"/>
        <item x="28"/>
        <item x="38"/>
        <item x="25"/>
        <item x="12"/>
        <item x="57"/>
        <item x="8"/>
        <item x="34"/>
        <item x="35"/>
        <item x="9"/>
        <item x="10"/>
        <item x="55"/>
        <item x="37"/>
        <item x="14"/>
        <item x="49"/>
        <item x="61"/>
        <item x="27"/>
        <item x="21"/>
        <item x="47"/>
        <item x="40"/>
        <item x="54"/>
        <item x="60"/>
        <item x="53"/>
        <item x="31"/>
        <item x="48"/>
        <item x="41"/>
        <item x="18"/>
        <item x="45"/>
        <item x="26"/>
        <item x="44"/>
        <item x="20"/>
        <item x="52"/>
        <item x="56"/>
        <item x="62"/>
        <item x="32"/>
        <item x="22"/>
        <item x="30"/>
        <item x="59"/>
        <item x="36"/>
        <item x="63"/>
        <item x="5"/>
        <item x="33"/>
        <item x="2"/>
        <item x="16"/>
        <item x="6"/>
        <item x="3"/>
        <item x="23"/>
        <item x="13"/>
        <item x="17"/>
        <item x="0"/>
        <item x="50"/>
        <item x="43"/>
        <item x="24"/>
        <item x="39"/>
        <item x="7"/>
        <item x="4"/>
        <item x="46"/>
        <item x="15"/>
        <item x="1"/>
        <item x="19"/>
        <item x="64"/>
        <item x="29"/>
        <item x="58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 v="46"/>
    </i>
    <i>
      <x v="59"/>
    </i>
    <i>
      <x v="18"/>
    </i>
    <i>
      <x v="52"/>
    </i>
    <i>
      <x v="31"/>
    </i>
    <i t="grand">
      <x/>
    </i>
  </rowItems>
  <colItems count="1">
    <i/>
  </colItems>
  <dataFields count="1">
    <dataField name="Sum of TotalSales" fld="8" baseField="0" baseItem="0" numFmtId="168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3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98B75-884B-DC4A-9E42-31944E9550D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8" firstHeaderRow="0" firstDataRow="1" firstDataCol="1"/>
  <pivotFields count="20">
    <pivotField dataField="1"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Sales" fld="8" baseField="0" baseItem="0"/>
  </dataFields>
  <formats count="2">
    <format dxfId="2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9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D6D03-1DD3-AD4E-A7F7-ED1CDD70945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4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Sum of Total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9AB0B-D962-D040-A180-7C7EB0C195F3}" name="tblSales" displayName="tblSales" ref="A1:T99" totalsRowShown="0" headerRowDxfId="21">
  <autoFilter ref="A1:T99" xr:uid="{7F99AB0B-D962-D040-A180-7C7EB0C195F3}"/>
  <tableColumns count="20">
    <tableColumn id="1" xr3:uid="{9E9BB616-E3D2-6940-8363-8E41B72E157B}" name="OrderID"/>
    <tableColumn id="2" xr3:uid="{272617D5-F5EA-0545-B014-4FE4B24399EA}" name="CustomerName"/>
    <tableColumn id="3" xr3:uid="{F6CC9E82-E610-FB43-9E97-32ECB8AE2E8C}" name="Region"/>
    <tableColumn id="4" xr3:uid="{37C3BF1B-FD52-934C-ADE6-0DF4A2EA4A56}" name="City"/>
    <tableColumn id="5" xr3:uid="{F581E257-F02E-F441-96D9-08AD44599978}" name="State"/>
    <tableColumn id="6" xr3:uid="{0D58D1B9-D1BF-1F4F-B4C4-4685AB1A1094}" name="Product"/>
    <tableColumn id="7" xr3:uid="{90F78FA1-BEA4-E948-A1E8-90ACE26B2509}" name="UnitPrice"/>
    <tableColumn id="8" xr3:uid="{039322FD-DBB0-F14A-8B42-57D7B6D4BA2A}" name="Quantity"/>
    <tableColumn id="9" xr3:uid="{9D11B730-27D2-7041-83B7-8620CCA39485}" name="TotalSales"/>
    <tableColumn id="10" xr3:uid="{917544DD-799B-1847-9D21-B1B12A43B374}" name="OrderDate"/>
    <tableColumn id="11" xr3:uid="{046A4169-1C24-7448-8488-ED7C159C371A}" name="Email"/>
    <tableColumn id="12" xr3:uid="{9325895F-9BB8-A345-A01C-74D7F2AF2E0A}" name="NameClean"/>
    <tableColumn id="13" xr3:uid="{72C89212-E0ED-D042-ACD0-C4E01F8B6351}" name="NameTrim"/>
    <tableColumn id="14" xr3:uid="{20E97F33-64B0-164E-B307-EA3183E67D00}" name="CleanName"/>
    <tableColumn id="15" xr3:uid="{4892AF03-15E1-934B-915B-4A4561ECD89E}" name="CleanProduct"/>
    <tableColumn id="16" xr3:uid="{31679694-1F31-7543-99A2-75AF5907CEFE}" name="ProductFR"/>
    <tableColumn id="17" xr3:uid="{D8A841E8-AB6F-874C-A16F-5CDC70A24AB1}" name="ProductCheck"/>
    <tableColumn id="18" xr3:uid="{370EAE23-3778-5F4A-BC93-5A9C31CA13A4}" name="Location"/>
    <tableColumn id="19" xr3:uid="{47E9E0E4-3BEE-024F-A245-AE127AB2266F}" name="FirstName"/>
    <tableColumn id="20" xr3:uid="{C840E8DB-2B5D-ED4F-970D-9072FC2A7FCD}" name="Last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t="s">
        <v>16</v>
      </c>
      <c r="K2" t="s">
        <v>17</v>
      </c>
    </row>
    <row r="3" spans="1:11" x14ac:dyDescent="0.2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</row>
    <row r="4" spans="1:11" x14ac:dyDescent="0.2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</row>
    <row r="5" spans="1:11" x14ac:dyDescent="0.2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</row>
    <row r="6" spans="1:11" x14ac:dyDescent="0.2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</row>
    <row r="7" spans="1:11" x14ac:dyDescent="0.2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</row>
    <row r="8" spans="1:11" x14ac:dyDescent="0.2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</row>
    <row r="9" spans="1:11" x14ac:dyDescent="0.2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</row>
    <row r="10" spans="1:11" x14ac:dyDescent="0.2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</row>
    <row r="11" spans="1:11" x14ac:dyDescent="0.2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</row>
    <row r="12" spans="1:11" x14ac:dyDescent="0.2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</row>
    <row r="13" spans="1:11" x14ac:dyDescent="0.2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</row>
    <row r="14" spans="1:11" x14ac:dyDescent="0.2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</row>
    <row r="15" spans="1:11" x14ac:dyDescent="0.2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</row>
    <row r="16" spans="1:11" x14ac:dyDescent="0.2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</row>
    <row r="17" spans="1:11" x14ac:dyDescent="0.2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</row>
    <row r="18" spans="1:11" x14ac:dyDescent="0.2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</row>
    <row r="19" spans="1:11" x14ac:dyDescent="0.2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</row>
    <row r="20" spans="1:11" x14ac:dyDescent="0.2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</row>
    <row r="21" spans="1:11" x14ac:dyDescent="0.2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</row>
    <row r="22" spans="1:11" x14ac:dyDescent="0.2">
      <c r="A22">
        <v>2006</v>
      </c>
      <c r="B22" t="s">
        <v>38</v>
      </c>
      <c r="C22" t="s">
        <v>25</v>
      </c>
      <c r="D22" t="s">
        <v>35</v>
      </c>
      <c r="E22" t="s">
        <v>20</v>
      </c>
      <c r="F22" t="s">
        <v>39</v>
      </c>
      <c r="G22">
        <v>499</v>
      </c>
      <c r="H22">
        <v>5</v>
      </c>
      <c r="I22">
        <v>2495</v>
      </c>
      <c r="J22" t="s">
        <v>40</v>
      </c>
      <c r="K22" t="s">
        <v>41</v>
      </c>
    </row>
    <row r="23" spans="1:11" x14ac:dyDescent="0.2">
      <c r="A23">
        <v>2022</v>
      </c>
      <c r="B23" t="s">
        <v>93</v>
      </c>
      <c r="C23" t="s">
        <v>55</v>
      </c>
      <c r="D23" t="s">
        <v>35</v>
      </c>
      <c r="E23" t="s">
        <v>20</v>
      </c>
      <c r="F23" t="s">
        <v>15</v>
      </c>
      <c r="G23">
        <v>89</v>
      </c>
      <c r="H23">
        <v>5</v>
      </c>
      <c r="I23">
        <v>445</v>
      </c>
      <c r="J23" t="s">
        <v>94</v>
      </c>
      <c r="K23" t="s">
        <v>95</v>
      </c>
    </row>
    <row r="24" spans="1:11" x14ac:dyDescent="0.2">
      <c r="A24">
        <v>2023</v>
      </c>
      <c r="B24" t="s">
        <v>29</v>
      </c>
      <c r="C24" t="s">
        <v>12</v>
      </c>
      <c r="D24" t="s">
        <v>35</v>
      </c>
      <c r="E24" t="s">
        <v>20</v>
      </c>
      <c r="F24" t="s">
        <v>26</v>
      </c>
      <c r="G24">
        <v>699</v>
      </c>
      <c r="H24">
        <v>2</v>
      </c>
      <c r="I24">
        <v>1398</v>
      </c>
      <c r="J24" t="s">
        <v>96</v>
      </c>
      <c r="K24" t="s">
        <v>97</v>
      </c>
    </row>
    <row r="25" spans="1:11" x14ac:dyDescent="0.2">
      <c r="A25">
        <v>2024</v>
      </c>
      <c r="B25" t="s">
        <v>66</v>
      </c>
      <c r="C25" t="s">
        <v>43</v>
      </c>
      <c r="D25" t="s">
        <v>30</v>
      </c>
      <c r="E25" t="s">
        <v>31</v>
      </c>
      <c r="F25" t="s">
        <v>21</v>
      </c>
      <c r="G25">
        <v>899</v>
      </c>
      <c r="H25">
        <v>4</v>
      </c>
      <c r="I25">
        <v>3596</v>
      </c>
      <c r="J25" t="s">
        <v>98</v>
      </c>
      <c r="K25" t="s">
        <v>99</v>
      </c>
    </row>
    <row r="26" spans="1:11" x14ac:dyDescent="0.2">
      <c r="A26">
        <v>2025</v>
      </c>
      <c r="B26" t="s">
        <v>100</v>
      </c>
      <c r="C26" t="s">
        <v>55</v>
      </c>
      <c r="D26" t="s">
        <v>44</v>
      </c>
      <c r="E26" t="s">
        <v>31</v>
      </c>
      <c r="F26" t="s">
        <v>48</v>
      </c>
      <c r="G26">
        <v>299</v>
      </c>
      <c r="H26">
        <v>3</v>
      </c>
      <c r="I26">
        <v>897</v>
      </c>
      <c r="J26" t="s">
        <v>101</v>
      </c>
      <c r="K26" t="s">
        <v>102</v>
      </c>
    </row>
    <row r="27" spans="1:11" x14ac:dyDescent="0.2">
      <c r="A27">
        <v>2026</v>
      </c>
      <c r="B27" t="s">
        <v>11</v>
      </c>
      <c r="C27" t="s">
        <v>55</v>
      </c>
      <c r="D27" t="s">
        <v>44</v>
      </c>
      <c r="E27" t="s">
        <v>31</v>
      </c>
      <c r="F27" t="s">
        <v>15</v>
      </c>
      <c r="G27">
        <v>89</v>
      </c>
      <c r="H27">
        <v>3</v>
      </c>
      <c r="I27">
        <v>267</v>
      </c>
      <c r="J27" t="s">
        <v>103</v>
      </c>
      <c r="K27" t="s">
        <v>104</v>
      </c>
    </row>
    <row r="28" spans="1:11" x14ac:dyDescent="0.2">
      <c r="A28">
        <v>2027</v>
      </c>
      <c r="B28" t="s">
        <v>105</v>
      </c>
      <c r="C28" t="s">
        <v>12</v>
      </c>
      <c r="D28" t="s">
        <v>30</v>
      </c>
      <c r="E28" t="s">
        <v>31</v>
      </c>
      <c r="F28" t="s">
        <v>21</v>
      </c>
      <c r="G28">
        <v>899</v>
      </c>
      <c r="H28">
        <v>5</v>
      </c>
      <c r="I28">
        <v>4495</v>
      </c>
      <c r="J28" t="s">
        <v>106</v>
      </c>
      <c r="K28" t="s">
        <v>107</v>
      </c>
    </row>
    <row r="29" spans="1:11" x14ac:dyDescent="0.2">
      <c r="A29">
        <v>2028</v>
      </c>
      <c r="B29" t="s">
        <v>108</v>
      </c>
      <c r="C29" t="s">
        <v>12</v>
      </c>
      <c r="D29" t="s">
        <v>44</v>
      </c>
      <c r="E29" t="s">
        <v>31</v>
      </c>
      <c r="F29" t="s">
        <v>39</v>
      </c>
      <c r="G29">
        <v>499</v>
      </c>
      <c r="H29">
        <v>2</v>
      </c>
      <c r="I29">
        <v>998</v>
      </c>
      <c r="J29" t="s">
        <v>109</v>
      </c>
      <c r="K29" t="s">
        <v>110</v>
      </c>
    </row>
    <row r="30" spans="1:11" x14ac:dyDescent="0.2">
      <c r="A30">
        <v>2029</v>
      </c>
      <c r="B30" t="s">
        <v>111</v>
      </c>
      <c r="C30" t="s">
        <v>43</v>
      </c>
      <c r="D30" t="s">
        <v>77</v>
      </c>
      <c r="E30" t="s">
        <v>78</v>
      </c>
      <c r="F30" t="s">
        <v>26</v>
      </c>
      <c r="G30">
        <v>699</v>
      </c>
      <c r="H30">
        <v>1</v>
      </c>
      <c r="I30">
        <v>699</v>
      </c>
      <c r="J30" t="s">
        <v>16</v>
      </c>
      <c r="K30" t="s">
        <v>112</v>
      </c>
    </row>
    <row r="31" spans="1:11" x14ac:dyDescent="0.2">
      <c r="A31">
        <v>2030</v>
      </c>
      <c r="B31" t="s">
        <v>29</v>
      </c>
      <c r="C31" t="s">
        <v>12</v>
      </c>
      <c r="D31" t="s">
        <v>67</v>
      </c>
      <c r="E31" t="s">
        <v>68</v>
      </c>
      <c r="F31" t="s">
        <v>21</v>
      </c>
      <c r="G31">
        <v>899</v>
      </c>
      <c r="H31">
        <v>2</v>
      </c>
      <c r="I31">
        <v>1798</v>
      </c>
      <c r="J31" t="s">
        <v>22</v>
      </c>
      <c r="K31" t="s">
        <v>113</v>
      </c>
    </row>
    <row r="32" spans="1:11" x14ac:dyDescent="0.2">
      <c r="A32">
        <v>2031</v>
      </c>
      <c r="B32" t="s">
        <v>114</v>
      </c>
      <c r="C32" t="s">
        <v>55</v>
      </c>
      <c r="D32" t="s">
        <v>13</v>
      </c>
      <c r="E32" t="s">
        <v>14</v>
      </c>
      <c r="F32" t="s">
        <v>21</v>
      </c>
      <c r="G32">
        <v>899</v>
      </c>
      <c r="H32">
        <v>5</v>
      </c>
      <c r="I32">
        <v>4495</v>
      </c>
      <c r="J32" t="s">
        <v>27</v>
      </c>
      <c r="K32" t="s">
        <v>115</v>
      </c>
    </row>
    <row r="33" spans="1:11" x14ac:dyDescent="0.2">
      <c r="A33">
        <v>2032</v>
      </c>
      <c r="B33" t="s">
        <v>116</v>
      </c>
      <c r="C33" t="s">
        <v>55</v>
      </c>
      <c r="D33" t="s">
        <v>19</v>
      </c>
      <c r="E33" t="s">
        <v>20</v>
      </c>
      <c r="F33" t="s">
        <v>48</v>
      </c>
      <c r="G33">
        <v>299</v>
      </c>
      <c r="H33">
        <v>3</v>
      </c>
      <c r="I33">
        <v>897</v>
      </c>
      <c r="J33" t="s">
        <v>32</v>
      </c>
      <c r="K33" t="s">
        <v>117</v>
      </c>
    </row>
    <row r="34" spans="1:11" x14ac:dyDescent="0.2">
      <c r="A34">
        <v>2033</v>
      </c>
      <c r="B34" t="s">
        <v>118</v>
      </c>
      <c r="C34" t="s">
        <v>25</v>
      </c>
      <c r="D34" t="s">
        <v>77</v>
      </c>
      <c r="E34" t="s">
        <v>78</v>
      </c>
      <c r="F34" t="s">
        <v>21</v>
      </c>
      <c r="G34">
        <v>899</v>
      </c>
      <c r="H34">
        <v>5</v>
      </c>
      <c r="I34">
        <v>4495</v>
      </c>
      <c r="J34" t="s">
        <v>36</v>
      </c>
      <c r="K34" t="s">
        <v>119</v>
      </c>
    </row>
    <row r="35" spans="1:11" x14ac:dyDescent="0.2">
      <c r="A35">
        <v>2034</v>
      </c>
      <c r="B35" t="s">
        <v>120</v>
      </c>
      <c r="C35" t="s">
        <v>55</v>
      </c>
      <c r="D35" t="s">
        <v>44</v>
      </c>
      <c r="E35" t="s">
        <v>31</v>
      </c>
      <c r="F35" t="s">
        <v>26</v>
      </c>
      <c r="G35">
        <v>699</v>
      </c>
      <c r="H35">
        <v>1</v>
      </c>
      <c r="I35">
        <v>699</v>
      </c>
      <c r="J35" t="s">
        <v>40</v>
      </c>
      <c r="K35" t="s">
        <v>121</v>
      </c>
    </row>
    <row r="36" spans="1:11" x14ac:dyDescent="0.2">
      <c r="A36">
        <v>2035</v>
      </c>
      <c r="B36" t="s">
        <v>108</v>
      </c>
      <c r="C36" t="s">
        <v>55</v>
      </c>
      <c r="D36" t="s">
        <v>30</v>
      </c>
      <c r="E36" t="s">
        <v>31</v>
      </c>
      <c r="F36" t="s">
        <v>15</v>
      </c>
      <c r="G36">
        <v>89</v>
      </c>
      <c r="H36">
        <v>2</v>
      </c>
      <c r="I36">
        <v>178</v>
      </c>
      <c r="J36" t="s">
        <v>45</v>
      </c>
      <c r="K36" t="s">
        <v>122</v>
      </c>
    </row>
    <row r="37" spans="1:11" x14ac:dyDescent="0.2">
      <c r="A37">
        <v>2036</v>
      </c>
      <c r="B37" t="s">
        <v>123</v>
      </c>
      <c r="C37" t="s">
        <v>12</v>
      </c>
      <c r="D37" t="s">
        <v>13</v>
      </c>
      <c r="E37" t="s">
        <v>14</v>
      </c>
      <c r="F37" t="s">
        <v>26</v>
      </c>
      <c r="G37">
        <v>699</v>
      </c>
      <c r="H37">
        <v>5</v>
      </c>
      <c r="I37">
        <v>3495</v>
      </c>
      <c r="J37" t="s">
        <v>49</v>
      </c>
      <c r="K37" t="s">
        <v>124</v>
      </c>
    </row>
    <row r="38" spans="1:11" x14ac:dyDescent="0.2">
      <c r="A38">
        <v>2037</v>
      </c>
      <c r="B38" t="s">
        <v>125</v>
      </c>
      <c r="C38" t="s">
        <v>55</v>
      </c>
      <c r="D38" t="s">
        <v>67</v>
      </c>
      <c r="E38" t="s">
        <v>68</v>
      </c>
      <c r="F38" t="s">
        <v>15</v>
      </c>
      <c r="G38">
        <v>89</v>
      </c>
      <c r="H38">
        <v>3</v>
      </c>
      <c r="I38">
        <v>267</v>
      </c>
      <c r="J38" t="s">
        <v>52</v>
      </c>
      <c r="K38" t="s">
        <v>126</v>
      </c>
    </row>
    <row r="39" spans="1:11" x14ac:dyDescent="0.2">
      <c r="A39">
        <v>2038</v>
      </c>
      <c r="B39" t="s">
        <v>127</v>
      </c>
      <c r="C39" t="s">
        <v>55</v>
      </c>
      <c r="D39" t="s">
        <v>77</v>
      </c>
      <c r="E39" t="s">
        <v>78</v>
      </c>
      <c r="F39" t="s">
        <v>26</v>
      </c>
      <c r="G39">
        <v>699</v>
      </c>
      <c r="H39">
        <v>3</v>
      </c>
      <c r="I39">
        <v>2097</v>
      </c>
      <c r="J39" t="s">
        <v>56</v>
      </c>
      <c r="K39" t="s">
        <v>128</v>
      </c>
    </row>
    <row r="40" spans="1:11" x14ac:dyDescent="0.2">
      <c r="A40">
        <v>2039</v>
      </c>
      <c r="B40" t="s">
        <v>129</v>
      </c>
      <c r="C40" t="s">
        <v>12</v>
      </c>
      <c r="D40" t="s">
        <v>77</v>
      </c>
      <c r="E40" t="s">
        <v>78</v>
      </c>
      <c r="F40" t="s">
        <v>21</v>
      </c>
      <c r="G40">
        <v>899</v>
      </c>
      <c r="H40">
        <v>1</v>
      </c>
      <c r="I40">
        <v>899</v>
      </c>
      <c r="J40" t="s">
        <v>58</v>
      </c>
      <c r="K40" t="s">
        <v>130</v>
      </c>
    </row>
    <row r="41" spans="1:11" x14ac:dyDescent="0.2">
      <c r="A41">
        <v>2040</v>
      </c>
      <c r="B41" t="s">
        <v>84</v>
      </c>
      <c r="C41" t="s">
        <v>55</v>
      </c>
      <c r="D41" t="s">
        <v>35</v>
      </c>
      <c r="E41" t="s">
        <v>20</v>
      </c>
      <c r="F41" t="s">
        <v>15</v>
      </c>
      <c r="G41">
        <v>89</v>
      </c>
      <c r="H41">
        <v>3</v>
      </c>
      <c r="I41">
        <v>267</v>
      </c>
      <c r="J41" t="s">
        <v>61</v>
      </c>
      <c r="K41" t="s">
        <v>131</v>
      </c>
    </row>
    <row r="42" spans="1:11" x14ac:dyDescent="0.2">
      <c r="A42">
        <v>2041</v>
      </c>
      <c r="B42" t="s">
        <v>132</v>
      </c>
      <c r="C42" t="s">
        <v>25</v>
      </c>
      <c r="D42" t="s">
        <v>35</v>
      </c>
      <c r="E42" t="s">
        <v>20</v>
      </c>
      <c r="F42" t="s">
        <v>15</v>
      </c>
      <c r="G42">
        <v>89</v>
      </c>
      <c r="H42">
        <v>2</v>
      </c>
      <c r="I42">
        <v>178</v>
      </c>
      <c r="J42" t="s">
        <v>64</v>
      </c>
      <c r="K42" t="s">
        <v>133</v>
      </c>
    </row>
    <row r="43" spans="1:11" x14ac:dyDescent="0.2">
      <c r="A43">
        <v>2042</v>
      </c>
      <c r="B43" t="s">
        <v>134</v>
      </c>
      <c r="C43" t="s">
        <v>12</v>
      </c>
      <c r="D43" t="s">
        <v>44</v>
      </c>
      <c r="E43" t="s">
        <v>31</v>
      </c>
      <c r="F43" t="s">
        <v>15</v>
      </c>
      <c r="G43">
        <v>89</v>
      </c>
      <c r="H43">
        <v>1</v>
      </c>
      <c r="I43">
        <v>89</v>
      </c>
      <c r="J43" t="s">
        <v>69</v>
      </c>
      <c r="K43" t="s">
        <v>135</v>
      </c>
    </row>
    <row r="44" spans="1:11" x14ac:dyDescent="0.2">
      <c r="A44">
        <v>2043</v>
      </c>
      <c r="B44" t="s">
        <v>136</v>
      </c>
      <c r="C44" t="s">
        <v>55</v>
      </c>
      <c r="D44" t="s">
        <v>13</v>
      </c>
      <c r="E44" t="s">
        <v>14</v>
      </c>
      <c r="F44" t="s">
        <v>21</v>
      </c>
      <c r="G44">
        <v>899</v>
      </c>
      <c r="H44">
        <v>5</v>
      </c>
      <c r="I44">
        <v>4495</v>
      </c>
      <c r="J44" t="s">
        <v>74</v>
      </c>
      <c r="K44" t="s">
        <v>137</v>
      </c>
    </row>
    <row r="45" spans="1:11" x14ac:dyDescent="0.2">
      <c r="A45">
        <v>2044</v>
      </c>
      <c r="B45" t="s">
        <v>105</v>
      </c>
      <c r="C45" t="s">
        <v>12</v>
      </c>
      <c r="D45" t="s">
        <v>19</v>
      </c>
      <c r="E45" t="s">
        <v>20</v>
      </c>
      <c r="F45" t="s">
        <v>39</v>
      </c>
      <c r="G45">
        <v>499</v>
      </c>
      <c r="H45">
        <v>4</v>
      </c>
      <c r="I45">
        <v>1996</v>
      </c>
      <c r="J45" t="s">
        <v>79</v>
      </c>
      <c r="K45" t="s">
        <v>138</v>
      </c>
    </row>
    <row r="46" spans="1:11" x14ac:dyDescent="0.2">
      <c r="A46">
        <v>2045</v>
      </c>
      <c r="B46" t="s">
        <v>139</v>
      </c>
      <c r="C46" t="s">
        <v>25</v>
      </c>
      <c r="D46" t="s">
        <v>77</v>
      </c>
      <c r="E46" t="s">
        <v>78</v>
      </c>
      <c r="F46" t="s">
        <v>15</v>
      </c>
      <c r="G46">
        <v>89</v>
      </c>
      <c r="H46">
        <v>3</v>
      </c>
      <c r="I46">
        <v>267</v>
      </c>
      <c r="J46" t="s">
        <v>82</v>
      </c>
      <c r="K46" t="s">
        <v>140</v>
      </c>
    </row>
    <row r="47" spans="1:11" x14ac:dyDescent="0.2">
      <c r="A47">
        <v>2011</v>
      </c>
      <c r="B47" t="s">
        <v>18</v>
      </c>
      <c r="C47" t="s">
        <v>55</v>
      </c>
      <c r="D47" t="s">
        <v>35</v>
      </c>
      <c r="E47" t="s">
        <v>20</v>
      </c>
      <c r="F47" t="s">
        <v>21</v>
      </c>
      <c r="G47">
        <v>899</v>
      </c>
      <c r="H47">
        <v>5</v>
      </c>
      <c r="I47">
        <v>4495</v>
      </c>
      <c r="J47" t="s">
        <v>58</v>
      </c>
      <c r="K47" t="s">
        <v>59</v>
      </c>
    </row>
    <row r="48" spans="1:11" x14ac:dyDescent="0.2">
      <c r="A48">
        <v>2047</v>
      </c>
      <c r="B48" t="s">
        <v>141</v>
      </c>
      <c r="C48" t="s">
        <v>55</v>
      </c>
      <c r="D48" t="s">
        <v>77</v>
      </c>
      <c r="E48" t="s">
        <v>78</v>
      </c>
      <c r="F48" t="s">
        <v>39</v>
      </c>
      <c r="G48">
        <v>499</v>
      </c>
      <c r="H48">
        <v>4</v>
      </c>
      <c r="I48">
        <v>1996</v>
      </c>
      <c r="J48" t="s">
        <v>88</v>
      </c>
      <c r="K48" t="s">
        <v>142</v>
      </c>
    </row>
    <row r="49" spans="1:11" x14ac:dyDescent="0.2">
      <c r="A49">
        <v>2048</v>
      </c>
      <c r="B49" t="s">
        <v>143</v>
      </c>
      <c r="C49" t="s">
        <v>43</v>
      </c>
      <c r="D49" t="s">
        <v>67</v>
      </c>
      <c r="E49" t="s">
        <v>68</v>
      </c>
      <c r="F49" t="s">
        <v>15</v>
      </c>
      <c r="G49">
        <v>89</v>
      </c>
      <c r="H49">
        <v>1</v>
      </c>
      <c r="I49">
        <v>89</v>
      </c>
      <c r="J49" t="s">
        <v>91</v>
      </c>
      <c r="K49" t="s">
        <v>144</v>
      </c>
    </row>
    <row r="50" spans="1:11" x14ac:dyDescent="0.2">
      <c r="A50">
        <v>2049</v>
      </c>
      <c r="B50" t="s">
        <v>145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4</v>
      </c>
      <c r="I50">
        <v>1196</v>
      </c>
      <c r="J50" t="s">
        <v>146</v>
      </c>
      <c r="K50" t="s">
        <v>147</v>
      </c>
    </row>
    <row r="51" spans="1:11" x14ac:dyDescent="0.2">
      <c r="A51">
        <v>2050</v>
      </c>
      <c r="B51" t="s">
        <v>118</v>
      </c>
      <c r="C51" t="s">
        <v>43</v>
      </c>
      <c r="D51" t="s">
        <v>35</v>
      </c>
      <c r="E51" t="s">
        <v>20</v>
      </c>
      <c r="F51" t="s">
        <v>15</v>
      </c>
      <c r="G51">
        <v>89</v>
      </c>
      <c r="H51">
        <v>4</v>
      </c>
      <c r="I51">
        <v>356</v>
      </c>
      <c r="J51" t="s">
        <v>94</v>
      </c>
      <c r="K51" t="s">
        <v>148</v>
      </c>
    </row>
    <row r="52" spans="1:11" x14ac:dyDescent="0.2">
      <c r="A52">
        <v>2051</v>
      </c>
      <c r="B52" t="s">
        <v>149</v>
      </c>
      <c r="C52" t="s">
        <v>55</v>
      </c>
      <c r="D52" t="s">
        <v>30</v>
      </c>
      <c r="E52" t="s">
        <v>31</v>
      </c>
      <c r="F52" t="s">
        <v>48</v>
      </c>
      <c r="G52">
        <v>299</v>
      </c>
      <c r="H52">
        <v>2</v>
      </c>
      <c r="I52">
        <v>598</v>
      </c>
      <c r="J52" t="s">
        <v>96</v>
      </c>
      <c r="K52" t="s">
        <v>150</v>
      </c>
    </row>
    <row r="53" spans="1:11" x14ac:dyDescent="0.2">
      <c r="A53">
        <v>2052</v>
      </c>
      <c r="B53" t="s">
        <v>151</v>
      </c>
      <c r="C53" t="s">
        <v>12</v>
      </c>
      <c r="D53" t="s">
        <v>44</v>
      </c>
      <c r="E53" t="s">
        <v>31</v>
      </c>
      <c r="F53" t="s">
        <v>15</v>
      </c>
      <c r="G53">
        <v>89</v>
      </c>
      <c r="H53">
        <v>5</v>
      </c>
      <c r="I53">
        <v>445</v>
      </c>
      <c r="J53" t="s">
        <v>98</v>
      </c>
      <c r="K53" t="s">
        <v>152</v>
      </c>
    </row>
    <row r="54" spans="1:11" x14ac:dyDescent="0.2">
      <c r="A54">
        <v>2053</v>
      </c>
      <c r="B54" t="s">
        <v>153</v>
      </c>
      <c r="C54" t="s">
        <v>55</v>
      </c>
      <c r="D54" t="s">
        <v>13</v>
      </c>
      <c r="E54" t="s">
        <v>14</v>
      </c>
      <c r="F54" t="s">
        <v>26</v>
      </c>
      <c r="G54">
        <v>699</v>
      </c>
      <c r="H54">
        <v>2</v>
      </c>
      <c r="I54">
        <v>1398</v>
      </c>
      <c r="J54" t="s">
        <v>101</v>
      </c>
      <c r="K54" t="s">
        <v>154</v>
      </c>
    </row>
    <row r="55" spans="1:11" x14ac:dyDescent="0.2">
      <c r="A55">
        <v>2054</v>
      </c>
      <c r="B55" t="s">
        <v>155</v>
      </c>
      <c r="C55" t="s">
        <v>12</v>
      </c>
      <c r="D55" t="s">
        <v>30</v>
      </c>
      <c r="E55" t="s">
        <v>31</v>
      </c>
      <c r="F55" t="s">
        <v>21</v>
      </c>
      <c r="G55">
        <v>899</v>
      </c>
      <c r="H55">
        <v>4</v>
      </c>
      <c r="I55">
        <v>3596</v>
      </c>
      <c r="J55" t="s">
        <v>103</v>
      </c>
      <c r="K55" t="s">
        <v>156</v>
      </c>
    </row>
    <row r="56" spans="1:11" x14ac:dyDescent="0.2">
      <c r="A56">
        <v>2055</v>
      </c>
      <c r="B56" t="s">
        <v>157</v>
      </c>
      <c r="C56" t="s">
        <v>43</v>
      </c>
      <c r="D56" t="s">
        <v>19</v>
      </c>
      <c r="E56" t="s">
        <v>20</v>
      </c>
      <c r="F56" t="s">
        <v>26</v>
      </c>
      <c r="G56">
        <v>699</v>
      </c>
      <c r="H56">
        <v>5</v>
      </c>
      <c r="I56">
        <v>3495</v>
      </c>
      <c r="J56" t="s">
        <v>106</v>
      </c>
      <c r="K56" t="s">
        <v>158</v>
      </c>
    </row>
    <row r="57" spans="1:11" x14ac:dyDescent="0.2">
      <c r="A57">
        <v>2056</v>
      </c>
      <c r="B57" t="s">
        <v>159</v>
      </c>
      <c r="C57" t="s">
        <v>43</v>
      </c>
      <c r="D57" t="s">
        <v>67</v>
      </c>
      <c r="E57" t="s">
        <v>68</v>
      </c>
      <c r="F57" t="s">
        <v>15</v>
      </c>
      <c r="G57">
        <v>89</v>
      </c>
      <c r="H57">
        <v>3</v>
      </c>
      <c r="I57">
        <v>267</v>
      </c>
      <c r="J57" t="s">
        <v>109</v>
      </c>
      <c r="K57" t="s">
        <v>160</v>
      </c>
    </row>
    <row r="58" spans="1:11" x14ac:dyDescent="0.2">
      <c r="A58">
        <v>2057</v>
      </c>
      <c r="B58" t="s">
        <v>153</v>
      </c>
      <c r="C58" t="s">
        <v>12</v>
      </c>
      <c r="D58" t="s">
        <v>67</v>
      </c>
      <c r="E58" t="s">
        <v>68</v>
      </c>
      <c r="F58" t="s">
        <v>15</v>
      </c>
      <c r="G58">
        <v>89</v>
      </c>
      <c r="H58">
        <v>3</v>
      </c>
      <c r="I58">
        <v>267</v>
      </c>
      <c r="J58" t="s">
        <v>16</v>
      </c>
      <c r="K58" t="s">
        <v>161</v>
      </c>
    </row>
    <row r="59" spans="1:11" x14ac:dyDescent="0.2">
      <c r="A59">
        <v>2058</v>
      </c>
      <c r="B59" t="s">
        <v>162</v>
      </c>
      <c r="C59" t="s">
        <v>25</v>
      </c>
      <c r="D59" t="s">
        <v>35</v>
      </c>
      <c r="E59" t="s">
        <v>20</v>
      </c>
      <c r="F59" t="s">
        <v>39</v>
      </c>
      <c r="G59">
        <v>499</v>
      </c>
      <c r="H59">
        <v>3</v>
      </c>
      <c r="I59">
        <v>1497</v>
      </c>
      <c r="J59" t="s">
        <v>22</v>
      </c>
      <c r="K59" t="s">
        <v>163</v>
      </c>
    </row>
    <row r="60" spans="1:11" x14ac:dyDescent="0.2">
      <c r="A60">
        <v>2059</v>
      </c>
      <c r="B60" t="s">
        <v>84</v>
      </c>
      <c r="C60" t="s">
        <v>12</v>
      </c>
      <c r="D60" t="s">
        <v>30</v>
      </c>
      <c r="E60" t="s">
        <v>31</v>
      </c>
      <c r="F60" t="s">
        <v>39</v>
      </c>
      <c r="G60">
        <v>499</v>
      </c>
      <c r="H60">
        <v>1</v>
      </c>
      <c r="I60">
        <v>499</v>
      </c>
      <c r="J60" t="s">
        <v>27</v>
      </c>
      <c r="K60" t="s">
        <v>164</v>
      </c>
    </row>
    <row r="61" spans="1:11" x14ac:dyDescent="0.2">
      <c r="A61">
        <v>2060</v>
      </c>
      <c r="B61" t="s">
        <v>116</v>
      </c>
      <c r="C61" t="s">
        <v>43</v>
      </c>
      <c r="D61" t="s">
        <v>44</v>
      </c>
      <c r="E61" t="s">
        <v>31</v>
      </c>
      <c r="F61" t="s">
        <v>26</v>
      </c>
      <c r="G61">
        <v>699</v>
      </c>
      <c r="H61">
        <v>2</v>
      </c>
      <c r="I61">
        <v>1398</v>
      </c>
      <c r="J61" t="s">
        <v>32</v>
      </c>
      <c r="K61" t="s">
        <v>165</v>
      </c>
    </row>
    <row r="62" spans="1:11" x14ac:dyDescent="0.2">
      <c r="A62">
        <v>2061</v>
      </c>
      <c r="B62" t="s">
        <v>66</v>
      </c>
      <c r="C62" t="s">
        <v>43</v>
      </c>
      <c r="D62" t="s">
        <v>77</v>
      </c>
      <c r="E62" t="s">
        <v>78</v>
      </c>
      <c r="F62" t="s">
        <v>15</v>
      </c>
      <c r="G62">
        <v>89</v>
      </c>
      <c r="H62">
        <v>2</v>
      </c>
      <c r="I62">
        <v>178</v>
      </c>
      <c r="J62" t="s">
        <v>36</v>
      </c>
      <c r="K62" t="s">
        <v>166</v>
      </c>
    </row>
    <row r="63" spans="1:11" x14ac:dyDescent="0.2">
      <c r="A63">
        <v>2062</v>
      </c>
      <c r="B63" t="s">
        <v>167</v>
      </c>
      <c r="C63" t="s">
        <v>55</v>
      </c>
      <c r="D63" t="s">
        <v>35</v>
      </c>
      <c r="E63" t="s">
        <v>20</v>
      </c>
      <c r="F63" t="s">
        <v>48</v>
      </c>
      <c r="G63">
        <v>299</v>
      </c>
      <c r="H63">
        <v>5</v>
      </c>
      <c r="I63">
        <v>1495</v>
      </c>
      <c r="J63" t="s">
        <v>40</v>
      </c>
      <c r="K63" t="s">
        <v>168</v>
      </c>
    </row>
    <row r="64" spans="1:11" x14ac:dyDescent="0.2">
      <c r="A64">
        <v>2063</v>
      </c>
      <c r="B64" t="s">
        <v>169</v>
      </c>
      <c r="C64" t="s">
        <v>55</v>
      </c>
      <c r="D64" t="s">
        <v>67</v>
      </c>
      <c r="E64" t="s">
        <v>68</v>
      </c>
      <c r="F64" t="s">
        <v>26</v>
      </c>
      <c r="G64">
        <v>699</v>
      </c>
      <c r="H64">
        <v>5</v>
      </c>
      <c r="I64">
        <v>3495</v>
      </c>
      <c r="J64" t="s">
        <v>45</v>
      </c>
      <c r="K64" t="s">
        <v>170</v>
      </c>
    </row>
    <row r="65" spans="1:11" x14ac:dyDescent="0.2">
      <c r="A65">
        <v>2064</v>
      </c>
      <c r="B65" t="s">
        <v>171</v>
      </c>
      <c r="C65" t="s">
        <v>55</v>
      </c>
      <c r="D65" t="s">
        <v>35</v>
      </c>
      <c r="E65" t="s">
        <v>20</v>
      </c>
      <c r="F65" t="s">
        <v>39</v>
      </c>
      <c r="G65">
        <v>499</v>
      </c>
      <c r="H65">
        <v>5</v>
      </c>
      <c r="I65">
        <v>2495</v>
      </c>
      <c r="J65" t="s">
        <v>49</v>
      </c>
      <c r="K65" t="s">
        <v>172</v>
      </c>
    </row>
    <row r="66" spans="1:11" x14ac:dyDescent="0.2">
      <c r="A66">
        <v>2065</v>
      </c>
      <c r="B66" t="s">
        <v>42</v>
      </c>
      <c r="C66" t="s">
        <v>25</v>
      </c>
      <c r="D66" t="s">
        <v>44</v>
      </c>
      <c r="E66" t="s">
        <v>31</v>
      </c>
      <c r="F66" t="s">
        <v>26</v>
      </c>
      <c r="G66">
        <v>699</v>
      </c>
      <c r="H66">
        <v>5</v>
      </c>
      <c r="I66">
        <v>3495</v>
      </c>
      <c r="J66" t="s">
        <v>52</v>
      </c>
      <c r="K66" t="s">
        <v>173</v>
      </c>
    </row>
    <row r="67" spans="1:11" x14ac:dyDescent="0.2">
      <c r="A67">
        <v>2066</v>
      </c>
      <c r="B67" t="s">
        <v>174</v>
      </c>
      <c r="C67" t="s">
        <v>12</v>
      </c>
      <c r="D67" t="s">
        <v>77</v>
      </c>
      <c r="E67" t="s">
        <v>78</v>
      </c>
      <c r="F67" t="s">
        <v>48</v>
      </c>
      <c r="G67">
        <v>299</v>
      </c>
      <c r="H67">
        <v>5</v>
      </c>
      <c r="I67">
        <v>1495</v>
      </c>
      <c r="J67" t="s">
        <v>56</v>
      </c>
      <c r="K67" t="s">
        <v>175</v>
      </c>
    </row>
    <row r="68" spans="1:11" x14ac:dyDescent="0.2">
      <c r="A68">
        <v>2067</v>
      </c>
      <c r="B68" t="s">
        <v>71</v>
      </c>
      <c r="C68" t="s">
        <v>25</v>
      </c>
      <c r="D68" t="s">
        <v>13</v>
      </c>
      <c r="E68" t="s">
        <v>14</v>
      </c>
      <c r="F68" t="s">
        <v>48</v>
      </c>
      <c r="G68">
        <v>299</v>
      </c>
      <c r="H68">
        <v>1</v>
      </c>
      <c r="I68">
        <v>299</v>
      </c>
      <c r="J68" t="s">
        <v>58</v>
      </c>
      <c r="K68" t="s">
        <v>176</v>
      </c>
    </row>
    <row r="69" spans="1:11" x14ac:dyDescent="0.2">
      <c r="A69">
        <v>2068</v>
      </c>
      <c r="B69" t="s">
        <v>177</v>
      </c>
      <c r="C69" t="s">
        <v>43</v>
      </c>
      <c r="D69" t="s">
        <v>30</v>
      </c>
      <c r="E69" t="s">
        <v>31</v>
      </c>
      <c r="F69" t="s">
        <v>15</v>
      </c>
      <c r="G69">
        <v>89</v>
      </c>
      <c r="H69">
        <v>2</v>
      </c>
      <c r="I69">
        <v>178</v>
      </c>
      <c r="J69" t="s">
        <v>61</v>
      </c>
      <c r="K69" t="s">
        <v>178</v>
      </c>
    </row>
    <row r="70" spans="1:11" x14ac:dyDescent="0.2">
      <c r="A70">
        <v>2069</v>
      </c>
      <c r="B70" t="s">
        <v>179</v>
      </c>
      <c r="C70" t="s">
        <v>25</v>
      </c>
      <c r="D70" t="s">
        <v>67</v>
      </c>
      <c r="E70" t="s">
        <v>68</v>
      </c>
      <c r="F70" t="s">
        <v>26</v>
      </c>
      <c r="G70">
        <v>699</v>
      </c>
      <c r="H70">
        <v>1</v>
      </c>
      <c r="I70">
        <v>699</v>
      </c>
      <c r="J70" t="s">
        <v>64</v>
      </c>
      <c r="K70" t="s">
        <v>180</v>
      </c>
    </row>
    <row r="71" spans="1:11" x14ac:dyDescent="0.2">
      <c r="A71">
        <v>2070</v>
      </c>
      <c r="B71" t="s">
        <v>181</v>
      </c>
      <c r="C71" t="s">
        <v>43</v>
      </c>
      <c r="D71" t="s">
        <v>72</v>
      </c>
      <c r="E71" t="s">
        <v>73</v>
      </c>
      <c r="F71" t="s">
        <v>15</v>
      </c>
      <c r="G71">
        <v>89</v>
      </c>
      <c r="H71">
        <v>4</v>
      </c>
      <c r="I71">
        <v>356</v>
      </c>
      <c r="J71" t="s">
        <v>69</v>
      </c>
      <c r="K71" t="s">
        <v>182</v>
      </c>
    </row>
    <row r="72" spans="1:11" x14ac:dyDescent="0.2">
      <c r="A72">
        <v>2071</v>
      </c>
      <c r="B72" t="s">
        <v>171</v>
      </c>
      <c r="C72" t="s">
        <v>25</v>
      </c>
      <c r="D72" t="s">
        <v>72</v>
      </c>
      <c r="E72" t="s">
        <v>73</v>
      </c>
      <c r="F72" t="s">
        <v>26</v>
      </c>
      <c r="G72">
        <v>699</v>
      </c>
      <c r="H72">
        <v>3</v>
      </c>
      <c r="I72">
        <v>2097</v>
      </c>
      <c r="J72" t="s">
        <v>74</v>
      </c>
      <c r="K72" t="s">
        <v>183</v>
      </c>
    </row>
    <row r="73" spans="1:11" x14ac:dyDescent="0.2">
      <c r="A73">
        <v>2072</v>
      </c>
      <c r="B73" t="s">
        <v>184</v>
      </c>
      <c r="C73" t="s">
        <v>12</v>
      </c>
      <c r="D73" t="s">
        <v>44</v>
      </c>
      <c r="E73" t="s">
        <v>31</v>
      </c>
      <c r="F73" t="s">
        <v>26</v>
      </c>
      <c r="G73">
        <v>699</v>
      </c>
      <c r="H73">
        <v>2</v>
      </c>
      <c r="I73">
        <v>1398</v>
      </c>
      <c r="J73" t="s">
        <v>79</v>
      </c>
      <c r="K73" t="s">
        <v>185</v>
      </c>
    </row>
    <row r="74" spans="1:11" x14ac:dyDescent="0.2">
      <c r="A74">
        <v>2073</v>
      </c>
      <c r="B74" t="s">
        <v>186</v>
      </c>
      <c r="C74" t="s">
        <v>12</v>
      </c>
      <c r="D74" t="s">
        <v>19</v>
      </c>
      <c r="E74" t="s">
        <v>20</v>
      </c>
      <c r="F74" t="s">
        <v>48</v>
      </c>
      <c r="G74">
        <v>299</v>
      </c>
      <c r="H74">
        <v>5</v>
      </c>
      <c r="I74">
        <v>1495</v>
      </c>
      <c r="J74" t="s">
        <v>82</v>
      </c>
      <c r="K74" t="s">
        <v>187</v>
      </c>
    </row>
    <row r="75" spans="1:11" x14ac:dyDescent="0.2">
      <c r="A75">
        <v>2074</v>
      </c>
      <c r="B75" t="s">
        <v>139</v>
      </c>
      <c r="C75" t="s">
        <v>25</v>
      </c>
      <c r="D75" t="s">
        <v>35</v>
      </c>
      <c r="E75" t="s">
        <v>20</v>
      </c>
      <c r="F75" t="s">
        <v>21</v>
      </c>
      <c r="G75">
        <v>899</v>
      </c>
      <c r="H75">
        <v>2</v>
      </c>
      <c r="I75">
        <v>1798</v>
      </c>
      <c r="J75" t="s">
        <v>85</v>
      </c>
      <c r="K75" t="s">
        <v>188</v>
      </c>
    </row>
    <row r="76" spans="1:11" x14ac:dyDescent="0.2">
      <c r="A76">
        <v>2075</v>
      </c>
      <c r="B76" t="s">
        <v>189</v>
      </c>
      <c r="C76" t="s">
        <v>25</v>
      </c>
      <c r="D76" t="s">
        <v>72</v>
      </c>
      <c r="E76" t="s">
        <v>73</v>
      </c>
      <c r="F76" t="s">
        <v>21</v>
      </c>
      <c r="G76">
        <v>899</v>
      </c>
      <c r="H76">
        <v>5</v>
      </c>
      <c r="I76">
        <v>4495</v>
      </c>
      <c r="J76" t="s">
        <v>88</v>
      </c>
      <c r="K76" t="s">
        <v>190</v>
      </c>
    </row>
    <row r="77" spans="1:11" x14ac:dyDescent="0.2">
      <c r="A77">
        <v>2076</v>
      </c>
      <c r="B77" t="s">
        <v>191</v>
      </c>
      <c r="C77" t="s">
        <v>55</v>
      </c>
      <c r="D77" t="s">
        <v>35</v>
      </c>
      <c r="E77" t="s">
        <v>20</v>
      </c>
      <c r="F77" t="s">
        <v>39</v>
      </c>
      <c r="G77">
        <v>499</v>
      </c>
      <c r="H77">
        <v>3</v>
      </c>
      <c r="I77">
        <v>1497</v>
      </c>
      <c r="J77" t="s">
        <v>91</v>
      </c>
      <c r="K77" t="s">
        <v>192</v>
      </c>
    </row>
    <row r="78" spans="1:11" x14ac:dyDescent="0.2">
      <c r="A78">
        <v>2077</v>
      </c>
      <c r="B78" t="s">
        <v>184</v>
      </c>
      <c r="C78" t="s">
        <v>12</v>
      </c>
      <c r="D78" t="s">
        <v>30</v>
      </c>
      <c r="E78" t="s">
        <v>31</v>
      </c>
      <c r="F78" t="s">
        <v>15</v>
      </c>
      <c r="G78">
        <v>89</v>
      </c>
      <c r="H78">
        <v>5</v>
      </c>
      <c r="I78">
        <v>445</v>
      </c>
      <c r="J78" t="s">
        <v>146</v>
      </c>
      <c r="K78" t="s">
        <v>193</v>
      </c>
    </row>
    <row r="79" spans="1:11" x14ac:dyDescent="0.2">
      <c r="A79">
        <v>2078</v>
      </c>
      <c r="B79" t="s">
        <v>139</v>
      </c>
      <c r="C79" t="s">
        <v>43</v>
      </c>
      <c r="D79" t="s">
        <v>30</v>
      </c>
      <c r="E79" t="s">
        <v>31</v>
      </c>
      <c r="F79" t="s">
        <v>48</v>
      </c>
      <c r="G79">
        <v>299</v>
      </c>
      <c r="H79">
        <v>5</v>
      </c>
      <c r="I79">
        <v>1495</v>
      </c>
      <c r="J79" t="s">
        <v>94</v>
      </c>
      <c r="K79" t="s">
        <v>194</v>
      </c>
    </row>
    <row r="80" spans="1:11" x14ac:dyDescent="0.2">
      <c r="A80">
        <v>2079</v>
      </c>
      <c r="B80" t="s">
        <v>195</v>
      </c>
      <c r="C80" t="s">
        <v>25</v>
      </c>
      <c r="D80" t="s">
        <v>19</v>
      </c>
      <c r="E80" t="s">
        <v>20</v>
      </c>
      <c r="F80" t="s">
        <v>48</v>
      </c>
      <c r="G80">
        <v>299</v>
      </c>
      <c r="H80">
        <v>2</v>
      </c>
      <c r="I80">
        <v>598</v>
      </c>
      <c r="J80" t="s">
        <v>96</v>
      </c>
      <c r="K80" t="s">
        <v>196</v>
      </c>
    </row>
    <row r="81" spans="1:11" x14ac:dyDescent="0.2">
      <c r="A81">
        <v>2080</v>
      </c>
      <c r="B81" t="s">
        <v>197</v>
      </c>
      <c r="C81" t="s">
        <v>43</v>
      </c>
      <c r="D81" t="s">
        <v>13</v>
      </c>
      <c r="E81" t="s">
        <v>14</v>
      </c>
      <c r="F81" t="s">
        <v>21</v>
      </c>
      <c r="G81">
        <v>899</v>
      </c>
      <c r="H81">
        <v>4</v>
      </c>
      <c r="I81">
        <v>3596</v>
      </c>
      <c r="J81" t="s">
        <v>98</v>
      </c>
      <c r="K81" t="s">
        <v>198</v>
      </c>
    </row>
    <row r="82" spans="1:11" x14ac:dyDescent="0.2">
      <c r="A82">
        <v>2081</v>
      </c>
      <c r="B82" t="s">
        <v>100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1</v>
      </c>
      <c r="I82">
        <v>499</v>
      </c>
      <c r="J82" t="s">
        <v>101</v>
      </c>
      <c r="K82" t="s">
        <v>199</v>
      </c>
    </row>
    <row r="83" spans="1:11" x14ac:dyDescent="0.2">
      <c r="A83">
        <v>2082</v>
      </c>
      <c r="B83" t="s">
        <v>66</v>
      </c>
      <c r="C83" t="s">
        <v>25</v>
      </c>
      <c r="D83" t="s">
        <v>19</v>
      </c>
      <c r="E83" t="s">
        <v>20</v>
      </c>
      <c r="F83" t="s">
        <v>15</v>
      </c>
      <c r="G83">
        <v>89</v>
      </c>
      <c r="H83">
        <v>2</v>
      </c>
      <c r="I83">
        <v>178</v>
      </c>
      <c r="J83" t="s">
        <v>103</v>
      </c>
      <c r="K83" t="s">
        <v>200</v>
      </c>
    </row>
    <row r="84" spans="1:11" x14ac:dyDescent="0.2">
      <c r="A84">
        <v>2083</v>
      </c>
      <c r="B84" t="s">
        <v>84</v>
      </c>
      <c r="C84" t="s">
        <v>12</v>
      </c>
      <c r="D84" t="s">
        <v>19</v>
      </c>
      <c r="E84" t="s">
        <v>20</v>
      </c>
      <c r="F84" t="s">
        <v>39</v>
      </c>
      <c r="G84">
        <v>499</v>
      </c>
      <c r="H84">
        <v>3</v>
      </c>
      <c r="I84">
        <v>1497</v>
      </c>
      <c r="J84" t="s">
        <v>106</v>
      </c>
      <c r="K84" t="s">
        <v>201</v>
      </c>
    </row>
    <row r="85" spans="1:11" x14ac:dyDescent="0.2">
      <c r="A85">
        <v>2084</v>
      </c>
      <c r="B85" t="s">
        <v>132</v>
      </c>
      <c r="C85" t="s">
        <v>55</v>
      </c>
      <c r="D85" t="s">
        <v>30</v>
      </c>
      <c r="E85" t="s">
        <v>31</v>
      </c>
      <c r="F85" t="s">
        <v>39</v>
      </c>
      <c r="G85">
        <v>499</v>
      </c>
      <c r="H85">
        <v>4</v>
      </c>
      <c r="I85">
        <v>1996</v>
      </c>
      <c r="J85" t="s">
        <v>109</v>
      </c>
      <c r="K85" t="s">
        <v>202</v>
      </c>
    </row>
    <row r="86" spans="1:11" x14ac:dyDescent="0.2">
      <c r="A86">
        <v>2085</v>
      </c>
      <c r="B86" t="s">
        <v>181</v>
      </c>
      <c r="C86" t="s">
        <v>43</v>
      </c>
      <c r="D86" t="s">
        <v>44</v>
      </c>
      <c r="E86" t="s">
        <v>31</v>
      </c>
      <c r="F86" t="s">
        <v>39</v>
      </c>
      <c r="G86">
        <v>499</v>
      </c>
      <c r="H86">
        <v>3</v>
      </c>
      <c r="I86">
        <v>1497</v>
      </c>
      <c r="J86" t="s">
        <v>16</v>
      </c>
      <c r="K86" t="s">
        <v>203</v>
      </c>
    </row>
    <row r="87" spans="1:11" x14ac:dyDescent="0.2">
      <c r="A87">
        <v>2086</v>
      </c>
      <c r="B87" t="s">
        <v>60</v>
      </c>
      <c r="C87" t="s">
        <v>12</v>
      </c>
      <c r="D87" t="s">
        <v>67</v>
      </c>
      <c r="E87" t="s">
        <v>68</v>
      </c>
      <c r="F87" t="s">
        <v>21</v>
      </c>
      <c r="G87">
        <v>899</v>
      </c>
      <c r="H87">
        <v>1</v>
      </c>
      <c r="I87">
        <v>899</v>
      </c>
      <c r="J87" t="s">
        <v>22</v>
      </c>
      <c r="K87" t="s">
        <v>204</v>
      </c>
    </row>
    <row r="88" spans="1:11" x14ac:dyDescent="0.2">
      <c r="A88">
        <v>2087</v>
      </c>
      <c r="B88" t="s">
        <v>195</v>
      </c>
      <c r="C88" t="s">
        <v>25</v>
      </c>
      <c r="D88" t="s">
        <v>77</v>
      </c>
      <c r="E88" t="s">
        <v>78</v>
      </c>
      <c r="F88" t="s">
        <v>21</v>
      </c>
      <c r="G88">
        <v>899</v>
      </c>
      <c r="H88">
        <v>4</v>
      </c>
      <c r="I88">
        <v>3596</v>
      </c>
      <c r="J88" t="s">
        <v>27</v>
      </c>
      <c r="K88" t="s">
        <v>205</v>
      </c>
    </row>
    <row r="89" spans="1:11" x14ac:dyDescent="0.2">
      <c r="A89">
        <v>2088</v>
      </c>
      <c r="B89" t="s">
        <v>100</v>
      </c>
      <c r="C89" t="s">
        <v>25</v>
      </c>
      <c r="D89" t="s">
        <v>35</v>
      </c>
      <c r="E89" t="s">
        <v>20</v>
      </c>
      <c r="F89" t="s">
        <v>21</v>
      </c>
      <c r="G89">
        <v>899</v>
      </c>
      <c r="H89">
        <v>5</v>
      </c>
      <c r="I89">
        <v>4495</v>
      </c>
      <c r="J89" t="s">
        <v>32</v>
      </c>
      <c r="K89" t="s">
        <v>206</v>
      </c>
    </row>
    <row r="90" spans="1:11" x14ac:dyDescent="0.2">
      <c r="A90">
        <v>2089</v>
      </c>
      <c r="B90" t="s">
        <v>207</v>
      </c>
      <c r="C90" t="s">
        <v>43</v>
      </c>
      <c r="D90" t="s">
        <v>44</v>
      </c>
      <c r="E90" t="s">
        <v>31</v>
      </c>
      <c r="F90" t="s">
        <v>39</v>
      </c>
      <c r="G90">
        <v>499</v>
      </c>
      <c r="H90">
        <v>1</v>
      </c>
      <c r="I90">
        <v>499</v>
      </c>
      <c r="J90" t="s">
        <v>36</v>
      </c>
      <c r="K90" t="s">
        <v>208</v>
      </c>
    </row>
    <row r="91" spans="1:11" x14ac:dyDescent="0.2">
      <c r="A91">
        <v>2090</v>
      </c>
      <c r="B91" t="s">
        <v>209</v>
      </c>
      <c r="C91" t="s">
        <v>43</v>
      </c>
      <c r="D91" t="s">
        <v>13</v>
      </c>
      <c r="E91" t="s">
        <v>14</v>
      </c>
      <c r="F91" t="s">
        <v>26</v>
      </c>
      <c r="G91">
        <v>699</v>
      </c>
      <c r="H91">
        <v>4</v>
      </c>
      <c r="I91">
        <v>2796</v>
      </c>
      <c r="J91" t="s">
        <v>40</v>
      </c>
      <c r="K91" t="s">
        <v>210</v>
      </c>
    </row>
    <row r="92" spans="1:11" x14ac:dyDescent="0.2">
      <c r="A92">
        <v>2091</v>
      </c>
      <c r="B92" t="s">
        <v>211</v>
      </c>
      <c r="C92" t="s">
        <v>25</v>
      </c>
      <c r="D92" t="s">
        <v>35</v>
      </c>
      <c r="E92" t="s">
        <v>20</v>
      </c>
      <c r="F92" t="s">
        <v>21</v>
      </c>
      <c r="G92">
        <v>899</v>
      </c>
      <c r="H92">
        <v>1</v>
      </c>
      <c r="I92">
        <v>899</v>
      </c>
      <c r="J92" t="s">
        <v>45</v>
      </c>
      <c r="K92" t="s">
        <v>212</v>
      </c>
    </row>
    <row r="93" spans="1:11" x14ac:dyDescent="0.2">
      <c r="A93">
        <v>2092</v>
      </c>
      <c r="B93" t="s">
        <v>213</v>
      </c>
      <c r="C93" t="s">
        <v>12</v>
      </c>
      <c r="D93" t="s">
        <v>67</v>
      </c>
      <c r="E93" t="s">
        <v>68</v>
      </c>
      <c r="F93" t="s">
        <v>21</v>
      </c>
      <c r="G93">
        <v>899</v>
      </c>
      <c r="H93">
        <v>5</v>
      </c>
      <c r="I93">
        <v>4495</v>
      </c>
      <c r="J93" t="s">
        <v>49</v>
      </c>
      <c r="K93" t="s">
        <v>214</v>
      </c>
    </row>
    <row r="94" spans="1:11" x14ac:dyDescent="0.2">
      <c r="A94">
        <v>2093</v>
      </c>
      <c r="B94" t="s">
        <v>157</v>
      </c>
      <c r="C94" t="s">
        <v>12</v>
      </c>
      <c r="D94" t="s">
        <v>13</v>
      </c>
      <c r="E94" t="s">
        <v>14</v>
      </c>
      <c r="F94" t="s">
        <v>21</v>
      </c>
      <c r="G94">
        <v>899</v>
      </c>
      <c r="H94">
        <v>3</v>
      </c>
      <c r="I94">
        <v>2697</v>
      </c>
      <c r="J94" t="s">
        <v>52</v>
      </c>
      <c r="K94" t="s">
        <v>215</v>
      </c>
    </row>
    <row r="95" spans="1:11" x14ac:dyDescent="0.2">
      <c r="A95">
        <v>2094</v>
      </c>
      <c r="B95" t="s">
        <v>29</v>
      </c>
      <c r="C95" t="s">
        <v>25</v>
      </c>
      <c r="D95" t="s">
        <v>72</v>
      </c>
      <c r="E95" t="s">
        <v>73</v>
      </c>
      <c r="F95" t="s">
        <v>26</v>
      </c>
      <c r="G95">
        <v>699</v>
      </c>
      <c r="H95">
        <v>1</v>
      </c>
      <c r="I95">
        <v>699</v>
      </c>
      <c r="J95" t="s">
        <v>56</v>
      </c>
      <c r="K95" t="s">
        <v>216</v>
      </c>
    </row>
    <row r="96" spans="1:11" x14ac:dyDescent="0.2">
      <c r="A96">
        <v>2095</v>
      </c>
      <c r="B96" t="s">
        <v>71</v>
      </c>
      <c r="C96" t="s">
        <v>43</v>
      </c>
      <c r="D96" t="s">
        <v>67</v>
      </c>
      <c r="E96" t="s">
        <v>68</v>
      </c>
      <c r="F96" t="s">
        <v>15</v>
      </c>
      <c r="G96">
        <v>89</v>
      </c>
      <c r="H96">
        <v>1</v>
      </c>
      <c r="I96">
        <v>89</v>
      </c>
      <c r="J96" t="s">
        <v>58</v>
      </c>
      <c r="K96" t="s">
        <v>217</v>
      </c>
    </row>
    <row r="97" spans="1:11" x14ac:dyDescent="0.2">
      <c r="A97">
        <v>2096</v>
      </c>
      <c r="B97" t="s">
        <v>171</v>
      </c>
      <c r="C97" t="s">
        <v>43</v>
      </c>
      <c r="D97" t="s">
        <v>77</v>
      </c>
      <c r="E97" t="s">
        <v>78</v>
      </c>
      <c r="F97" t="s">
        <v>15</v>
      </c>
      <c r="G97">
        <v>89</v>
      </c>
      <c r="H97">
        <v>4</v>
      </c>
      <c r="I97">
        <v>356</v>
      </c>
      <c r="J97" t="s">
        <v>61</v>
      </c>
      <c r="K97" t="s">
        <v>218</v>
      </c>
    </row>
    <row r="98" spans="1:11" x14ac:dyDescent="0.2">
      <c r="A98">
        <v>2097</v>
      </c>
      <c r="B98" t="s">
        <v>219</v>
      </c>
      <c r="C98" t="s">
        <v>43</v>
      </c>
      <c r="D98" t="s">
        <v>72</v>
      </c>
      <c r="E98" t="s">
        <v>73</v>
      </c>
      <c r="F98" t="s">
        <v>48</v>
      </c>
      <c r="G98">
        <v>299</v>
      </c>
      <c r="H98">
        <v>3</v>
      </c>
      <c r="I98">
        <v>897</v>
      </c>
      <c r="J98" t="s">
        <v>64</v>
      </c>
      <c r="K98" t="s">
        <v>220</v>
      </c>
    </row>
    <row r="99" spans="1:11" x14ac:dyDescent="0.2">
      <c r="A99">
        <v>2098</v>
      </c>
      <c r="B99" t="s">
        <v>221</v>
      </c>
      <c r="C99" t="s">
        <v>25</v>
      </c>
      <c r="D99" t="s">
        <v>19</v>
      </c>
      <c r="E99" t="s">
        <v>20</v>
      </c>
      <c r="F99" t="s">
        <v>26</v>
      </c>
      <c r="G99">
        <v>699</v>
      </c>
      <c r="H99">
        <v>2</v>
      </c>
      <c r="I99">
        <v>1398</v>
      </c>
      <c r="J99" t="s">
        <v>69</v>
      </c>
      <c r="K99" t="s">
        <v>222</v>
      </c>
    </row>
    <row r="100" spans="1:11" x14ac:dyDescent="0.2">
      <c r="A100">
        <v>2099</v>
      </c>
      <c r="B100" t="s">
        <v>167</v>
      </c>
      <c r="C100" t="s">
        <v>25</v>
      </c>
      <c r="D100" t="s">
        <v>13</v>
      </c>
      <c r="E100" t="s">
        <v>14</v>
      </c>
      <c r="F100" t="s">
        <v>39</v>
      </c>
      <c r="G100">
        <v>499</v>
      </c>
      <c r="H100">
        <v>5</v>
      </c>
      <c r="I100">
        <v>2495</v>
      </c>
      <c r="J100" t="s">
        <v>74</v>
      </c>
      <c r="K100" t="s">
        <v>223</v>
      </c>
    </row>
    <row r="101" spans="1:11" x14ac:dyDescent="0.2">
      <c r="A101">
        <v>2100</v>
      </c>
      <c r="B101" t="s">
        <v>71</v>
      </c>
      <c r="C101" t="s">
        <v>12</v>
      </c>
      <c r="D101" t="s">
        <v>44</v>
      </c>
      <c r="E101" t="s">
        <v>31</v>
      </c>
      <c r="F101" t="s">
        <v>48</v>
      </c>
      <c r="G101">
        <v>299</v>
      </c>
      <c r="H101">
        <v>1</v>
      </c>
      <c r="I101">
        <v>299</v>
      </c>
      <c r="J101" t="s">
        <v>79</v>
      </c>
      <c r="K101" t="s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4A26-8DA9-9B4D-8FE8-68252FDF2895}">
  <dimension ref="A1:T104"/>
  <sheetViews>
    <sheetView zoomScale="84" zoomScaleNormal="246" workbookViewId="0">
      <pane ySplit="1" topLeftCell="A2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9.5" customWidth="1"/>
    <col min="2" max="2" width="15.33203125" customWidth="1"/>
    <col min="6" max="6" width="9.5" customWidth="1"/>
    <col min="7" max="7" width="10.5" customWidth="1"/>
    <col min="8" max="8" width="10" customWidth="1"/>
    <col min="9" max="9" width="10.83203125" customWidth="1"/>
    <col min="10" max="10" width="11.5" customWidth="1"/>
    <col min="12" max="13" width="0" hidden="1" customWidth="1"/>
    <col min="14" max="14" width="12.1640625" customWidth="1"/>
    <col min="15" max="15" width="13.6640625" customWidth="1"/>
    <col min="16" max="17" width="0" hidden="1" customWidth="1"/>
    <col min="18" max="18" width="10" customWidth="1"/>
    <col min="19" max="19" width="11.1640625" customWidth="1"/>
    <col min="20" max="20" width="10.8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233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</row>
    <row r="2" spans="1:20" x14ac:dyDescent="0.2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t="s">
        <v>16</v>
      </c>
      <c r="K2" t="s">
        <v>17</v>
      </c>
      <c r="L2" t="s">
        <v>11</v>
      </c>
      <c r="M2" t="s">
        <v>329</v>
      </c>
      <c r="N2" t="s">
        <v>244</v>
      </c>
      <c r="O2" t="s">
        <v>238</v>
      </c>
      <c r="P2" t="s">
        <v>238</v>
      </c>
      <c r="Q2" t="b">
        <v>1</v>
      </c>
      <c r="R2" t="s">
        <v>330</v>
      </c>
      <c r="S2" t="s">
        <v>309</v>
      </c>
      <c r="T2" t="s">
        <v>310</v>
      </c>
    </row>
    <row r="3" spans="1:20" x14ac:dyDescent="0.2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  <c r="L3" t="s">
        <v>18</v>
      </c>
      <c r="M3" t="s">
        <v>331</v>
      </c>
      <c r="N3" t="s">
        <v>245</v>
      </c>
      <c r="O3" t="s">
        <v>234</v>
      </c>
      <c r="P3" t="s">
        <v>234</v>
      </c>
      <c r="Q3" t="b">
        <v>1</v>
      </c>
      <c r="R3" t="s">
        <v>332</v>
      </c>
      <c r="S3" t="s">
        <v>311</v>
      </c>
      <c r="T3" t="s">
        <v>312</v>
      </c>
    </row>
    <row r="4" spans="1:20" x14ac:dyDescent="0.2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  <c r="L4" t="s">
        <v>24</v>
      </c>
      <c r="M4" t="s">
        <v>333</v>
      </c>
      <c r="N4" t="s">
        <v>246</v>
      </c>
      <c r="O4" t="s">
        <v>235</v>
      </c>
      <c r="P4" t="s">
        <v>235</v>
      </c>
      <c r="Q4" t="b">
        <v>1</v>
      </c>
      <c r="R4" t="s">
        <v>330</v>
      </c>
      <c r="S4" t="s">
        <v>313</v>
      </c>
      <c r="T4" t="s">
        <v>314</v>
      </c>
    </row>
    <row r="5" spans="1:20" x14ac:dyDescent="0.2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  <c r="L5" t="s">
        <v>29</v>
      </c>
      <c r="M5" t="s">
        <v>334</v>
      </c>
      <c r="N5" t="s">
        <v>247</v>
      </c>
      <c r="O5" t="s">
        <v>234</v>
      </c>
      <c r="P5" t="s">
        <v>234</v>
      </c>
      <c r="Q5" t="b">
        <v>1</v>
      </c>
      <c r="R5" t="s">
        <v>335</v>
      </c>
      <c r="S5" t="s">
        <v>313</v>
      </c>
      <c r="T5" t="s">
        <v>315</v>
      </c>
    </row>
    <row r="6" spans="1:20" x14ac:dyDescent="0.2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  <c r="L6" t="s">
        <v>34</v>
      </c>
      <c r="M6" t="s">
        <v>336</v>
      </c>
      <c r="N6" t="s">
        <v>248</v>
      </c>
      <c r="O6" t="s">
        <v>238</v>
      </c>
      <c r="P6" t="s">
        <v>238</v>
      </c>
      <c r="Q6" t="b">
        <v>1</v>
      </c>
      <c r="R6" t="s">
        <v>337</v>
      </c>
      <c r="S6" t="s">
        <v>311</v>
      </c>
      <c r="T6" t="s">
        <v>316</v>
      </c>
    </row>
    <row r="7" spans="1:20" x14ac:dyDescent="0.2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  <c r="L7" t="s">
        <v>38</v>
      </c>
      <c r="M7" t="s">
        <v>338</v>
      </c>
      <c r="N7" t="s">
        <v>249</v>
      </c>
      <c r="O7" t="s">
        <v>236</v>
      </c>
      <c r="P7" t="s">
        <v>236</v>
      </c>
      <c r="Q7" t="b">
        <v>1</v>
      </c>
      <c r="R7" t="s">
        <v>337</v>
      </c>
      <c r="S7" t="s">
        <v>317</v>
      </c>
      <c r="T7" t="s">
        <v>312</v>
      </c>
    </row>
    <row r="8" spans="1:20" x14ac:dyDescent="0.2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  <c r="L8" t="s">
        <v>42</v>
      </c>
      <c r="M8" t="s">
        <v>339</v>
      </c>
      <c r="N8" t="s">
        <v>250</v>
      </c>
      <c r="O8" t="s">
        <v>236</v>
      </c>
      <c r="P8" t="s">
        <v>236</v>
      </c>
      <c r="Q8" t="b">
        <v>1</v>
      </c>
      <c r="R8" t="s">
        <v>340</v>
      </c>
      <c r="S8" t="s">
        <v>313</v>
      </c>
      <c r="T8" t="s">
        <v>310</v>
      </c>
    </row>
    <row r="9" spans="1:20" x14ac:dyDescent="0.2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  <c r="L9" t="s">
        <v>47</v>
      </c>
      <c r="M9" t="s">
        <v>341</v>
      </c>
      <c r="N9" t="s">
        <v>251</v>
      </c>
      <c r="O9" t="s">
        <v>237</v>
      </c>
      <c r="P9" t="s">
        <v>237</v>
      </c>
      <c r="Q9" t="b">
        <v>1</v>
      </c>
      <c r="R9" t="s">
        <v>330</v>
      </c>
      <c r="S9" t="s">
        <v>311</v>
      </c>
      <c r="T9" t="s">
        <v>318</v>
      </c>
    </row>
    <row r="10" spans="1:20" x14ac:dyDescent="0.2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  <c r="L10" t="s">
        <v>51</v>
      </c>
      <c r="M10" t="s">
        <v>342</v>
      </c>
      <c r="N10" t="s">
        <v>252</v>
      </c>
      <c r="O10" t="s">
        <v>235</v>
      </c>
      <c r="P10" t="s">
        <v>235</v>
      </c>
      <c r="Q10" t="b">
        <v>1</v>
      </c>
      <c r="R10" t="s">
        <v>330</v>
      </c>
      <c r="S10" t="s">
        <v>319</v>
      </c>
      <c r="T10" t="s">
        <v>320</v>
      </c>
    </row>
    <row r="11" spans="1:20" x14ac:dyDescent="0.2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  <c r="L11" t="s">
        <v>54</v>
      </c>
      <c r="M11" t="s">
        <v>343</v>
      </c>
      <c r="N11" t="s">
        <v>253</v>
      </c>
      <c r="O11" t="s">
        <v>234</v>
      </c>
      <c r="P11" t="s">
        <v>234</v>
      </c>
      <c r="Q11" t="b">
        <v>1</v>
      </c>
      <c r="R11" t="s">
        <v>340</v>
      </c>
      <c r="S11" t="s">
        <v>319</v>
      </c>
      <c r="T11" t="s">
        <v>316</v>
      </c>
    </row>
    <row r="12" spans="1:20" x14ac:dyDescent="0.2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  <c r="L12" t="s">
        <v>18</v>
      </c>
      <c r="M12" t="s">
        <v>331</v>
      </c>
      <c r="N12" t="s">
        <v>245</v>
      </c>
      <c r="O12" t="s">
        <v>234</v>
      </c>
      <c r="P12" t="s">
        <v>234</v>
      </c>
      <c r="Q12" t="b">
        <v>1</v>
      </c>
      <c r="R12" t="s">
        <v>337</v>
      </c>
      <c r="S12" t="s">
        <v>311</v>
      </c>
      <c r="T12" t="s">
        <v>312</v>
      </c>
    </row>
    <row r="13" spans="1:20" x14ac:dyDescent="0.2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  <c r="L13" t="s">
        <v>60</v>
      </c>
      <c r="M13" t="s">
        <v>344</v>
      </c>
      <c r="N13" t="s">
        <v>254</v>
      </c>
      <c r="O13" t="s">
        <v>234</v>
      </c>
      <c r="P13" t="s">
        <v>234</v>
      </c>
      <c r="Q13" t="b">
        <v>1</v>
      </c>
      <c r="R13" t="s">
        <v>337</v>
      </c>
      <c r="S13" t="s">
        <v>319</v>
      </c>
      <c r="T13" t="s">
        <v>321</v>
      </c>
    </row>
    <row r="14" spans="1:20" x14ac:dyDescent="0.2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  <c r="L14" t="s">
        <v>63</v>
      </c>
      <c r="M14" t="s">
        <v>345</v>
      </c>
      <c r="N14" t="s">
        <v>255</v>
      </c>
      <c r="O14" t="s">
        <v>236</v>
      </c>
      <c r="P14" t="s">
        <v>236</v>
      </c>
      <c r="Q14" t="b">
        <v>1</v>
      </c>
      <c r="R14" t="s">
        <v>330</v>
      </c>
      <c r="S14" t="s">
        <v>322</v>
      </c>
      <c r="T14" t="s">
        <v>318</v>
      </c>
    </row>
    <row r="15" spans="1:20" x14ac:dyDescent="0.2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  <c r="L15" t="s">
        <v>66</v>
      </c>
      <c r="M15" t="s">
        <v>66</v>
      </c>
      <c r="N15" t="s">
        <v>256</v>
      </c>
      <c r="O15" t="s">
        <v>236</v>
      </c>
      <c r="P15" t="s">
        <v>236</v>
      </c>
      <c r="Q15" t="b">
        <v>1</v>
      </c>
      <c r="R15" t="s">
        <v>346</v>
      </c>
      <c r="S15" t="s">
        <v>322</v>
      </c>
      <c r="T15" t="s">
        <v>315</v>
      </c>
    </row>
    <row r="16" spans="1:20" x14ac:dyDescent="0.2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  <c r="L16" t="s">
        <v>71</v>
      </c>
      <c r="M16" t="s">
        <v>347</v>
      </c>
      <c r="N16" t="s">
        <v>257</v>
      </c>
      <c r="O16" t="s">
        <v>237</v>
      </c>
      <c r="P16" t="s">
        <v>237</v>
      </c>
      <c r="Q16" t="b">
        <v>1</v>
      </c>
      <c r="R16" t="s">
        <v>348</v>
      </c>
      <c r="S16" t="s">
        <v>309</v>
      </c>
      <c r="T16" t="s">
        <v>316</v>
      </c>
    </row>
    <row r="17" spans="1:20" x14ac:dyDescent="0.2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  <c r="L17" t="s">
        <v>76</v>
      </c>
      <c r="M17" t="s">
        <v>349</v>
      </c>
      <c r="N17" t="s">
        <v>258</v>
      </c>
      <c r="O17" t="s">
        <v>236</v>
      </c>
      <c r="P17" t="s">
        <v>236</v>
      </c>
      <c r="Q17" t="b">
        <v>1</v>
      </c>
      <c r="R17" t="s">
        <v>350</v>
      </c>
      <c r="S17" t="s">
        <v>319</v>
      </c>
      <c r="T17" t="s">
        <v>312</v>
      </c>
    </row>
    <row r="18" spans="1:20" x14ac:dyDescent="0.2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  <c r="L18" t="s">
        <v>81</v>
      </c>
      <c r="M18" t="s">
        <v>351</v>
      </c>
      <c r="N18" t="s">
        <v>259</v>
      </c>
      <c r="O18" t="s">
        <v>236</v>
      </c>
      <c r="P18" t="s">
        <v>236</v>
      </c>
      <c r="Q18" t="b">
        <v>1</v>
      </c>
      <c r="R18" t="s">
        <v>346</v>
      </c>
      <c r="S18" t="s">
        <v>311</v>
      </c>
      <c r="T18" t="s">
        <v>310</v>
      </c>
    </row>
    <row r="19" spans="1:20" x14ac:dyDescent="0.2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  <c r="L19" t="s">
        <v>84</v>
      </c>
      <c r="M19" t="s">
        <v>352</v>
      </c>
      <c r="N19" t="s">
        <v>260</v>
      </c>
      <c r="O19" t="s">
        <v>238</v>
      </c>
      <c r="P19" t="s">
        <v>238</v>
      </c>
      <c r="Q19" t="b">
        <v>1</v>
      </c>
      <c r="R19" t="s">
        <v>335</v>
      </c>
      <c r="S19" t="s">
        <v>313</v>
      </c>
      <c r="T19" t="s">
        <v>321</v>
      </c>
    </row>
    <row r="20" spans="1:20" x14ac:dyDescent="0.2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  <c r="L20" t="s">
        <v>87</v>
      </c>
      <c r="M20" t="s">
        <v>353</v>
      </c>
      <c r="N20" t="s">
        <v>261</v>
      </c>
      <c r="O20" t="s">
        <v>237</v>
      </c>
      <c r="P20" t="s">
        <v>237</v>
      </c>
      <c r="Q20" t="b">
        <v>1</v>
      </c>
      <c r="R20" t="s">
        <v>337</v>
      </c>
      <c r="S20" t="s">
        <v>309</v>
      </c>
      <c r="T20" t="s">
        <v>321</v>
      </c>
    </row>
    <row r="21" spans="1:20" x14ac:dyDescent="0.2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  <c r="L21" t="s">
        <v>90</v>
      </c>
      <c r="M21" t="s">
        <v>354</v>
      </c>
      <c r="N21" t="s">
        <v>262</v>
      </c>
      <c r="O21" t="s">
        <v>235</v>
      </c>
      <c r="P21" t="s">
        <v>235</v>
      </c>
      <c r="Q21" t="b">
        <v>1</v>
      </c>
      <c r="R21" t="s">
        <v>337</v>
      </c>
      <c r="S21" t="s">
        <v>323</v>
      </c>
      <c r="T21" t="s">
        <v>324</v>
      </c>
    </row>
    <row r="22" spans="1:20" x14ac:dyDescent="0.2">
      <c r="A22">
        <v>2022</v>
      </c>
      <c r="B22" t="s">
        <v>93</v>
      </c>
      <c r="C22" t="s">
        <v>55</v>
      </c>
      <c r="D22" t="s">
        <v>35</v>
      </c>
      <c r="E22" t="s">
        <v>20</v>
      </c>
      <c r="F22" t="s">
        <v>15</v>
      </c>
      <c r="G22">
        <v>89</v>
      </c>
      <c r="H22">
        <v>5</v>
      </c>
      <c r="I22">
        <v>445</v>
      </c>
      <c r="J22" t="s">
        <v>94</v>
      </c>
      <c r="K22" t="s">
        <v>95</v>
      </c>
      <c r="L22" t="s">
        <v>93</v>
      </c>
      <c r="M22" t="s">
        <v>355</v>
      </c>
      <c r="N22" t="s">
        <v>263</v>
      </c>
      <c r="O22" t="s">
        <v>238</v>
      </c>
      <c r="P22" t="s">
        <v>238</v>
      </c>
      <c r="Q22" t="b">
        <v>1</v>
      </c>
      <c r="R22" t="s">
        <v>337</v>
      </c>
      <c r="S22" t="s">
        <v>325</v>
      </c>
      <c r="T22" t="s">
        <v>324</v>
      </c>
    </row>
    <row r="23" spans="1:20" x14ac:dyDescent="0.2">
      <c r="A23">
        <v>2023</v>
      </c>
      <c r="B23" t="s">
        <v>29</v>
      </c>
      <c r="C23" t="s">
        <v>12</v>
      </c>
      <c r="D23" t="s">
        <v>35</v>
      </c>
      <c r="E23" t="s">
        <v>20</v>
      </c>
      <c r="F23" t="s">
        <v>26</v>
      </c>
      <c r="G23">
        <v>699</v>
      </c>
      <c r="H23">
        <v>2</v>
      </c>
      <c r="I23">
        <v>1398</v>
      </c>
      <c r="J23" t="s">
        <v>96</v>
      </c>
      <c r="K23" t="s">
        <v>97</v>
      </c>
      <c r="L23" t="s">
        <v>29</v>
      </c>
      <c r="M23" t="s">
        <v>334</v>
      </c>
      <c r="N23" t="s">
        <v>247</v>
      </c>
      <c r="O23" t="s">
        <v>235</v>
      </c>
      <c r="P23" t="s">
        <v>235</v>
      </c>
      <c r="Q23" t="b">
        <v>1</v>
      </c>
      <c r="R23" t="s">
        <v>337</v>
      </c>
      <c r="S23" t="s">
        <v>313</v>
      </c>
      <c r="T23" t="s">
        <v>315</v>
      </c>
    </row>
    <row r="24" spans="1:20" x14ac:dyDescent="0.2">
      <c r="A24">
        <v>2024</v>
      </c>
      <c r="B24" t="s">
        <v>66</v>
      </c>
      <c r="C24" t="s">
        <v>43</v>
      </c>
      <c r="D24" t="s">
        <v>30</v>
      </c>
      <c r="E24" t="s">
        <v>31</v>
      </c>
      <c r="F24" t="s">
        <v>21</v>
      </c>
      <c r="G24">
        <v>899</v>
      </c>
      <c r="H24">
        <v>4</v>
      </c>
      <c r="I24">
        <v>3596</v>
      </c>
      <c r="J24" t="s">
        <v>98</v>
      </c>
      <c r="K24" t="s">
        <v>99</v>
      </c>
      <c r="L24" t="s">
        <v>66</v>
      </c>
      <c r="M24" t="s">
        <v>66</v>
      </c>
      <c r="N24" t="s">
        <v>256</v>
      </c>
      <c r="O24" t="s">
        <v>234</v>
      </c>
      <c r="P24" t="s">
        <v>234</v>
      </c>
      <c r="Q24" t="b">
        <v>1</v>
      </c>
      <c r="R24" t="s">
        <v>335</v>
      </c>
      <c r="S24" t="s">
        <v>322</v>
      </c>
      <c r="T24" t="s">
        <v>315</v>
      </c>
    </row>
    <row r="25" spans="1:20" x14ac:dyDescent="0.2">
      <c r="A25">
        <v>2025</v>
      </c>
      <c r="B25" t="s">
        <v>100</v>
      </c>
      <c r="C25" t="s">
        <v>55</v>
      </c>
      <c r="D25" t="s">
        <v>44</v>
      </c>
      <c r="E25" t="s">
        <v>31</v>
      </c>
      <c r="F25" t="s">
        <v>48</v>
      </c>
      <c r="G25">
        <v>299</v>
      </c>
      <c r="H25">
        <v>3</v>
      </c>
      <c r="I25">
        <v>897</v>
      </c>
      <c r="J25" t="s">
        <v>101</v>
      </c>
      <c r="K25" t="s">
        <v>102</v>
      </c>
      <c r="L25" t="s">
        <v>100</v>
      </c>
      <c r="M25" t="s">
        <v>356</v>
      </c>
      <c r="N25" t="s">
        <v>264</v>
      </c>
      <c r="O25" t="s">
        <v>237</v>
      </c>
      <c r="P25" t="s">
        <v>237</v>
      </c>
      <c r="Q25" t="b">
        <v>1</v>
      </c>
      <c r="R25" t="s">
        <v>340</v>
      </c>
      <c r="S25" t="s">
        <v>323</v>
      </c>
      <c r="T25" t="s">
        <v>321</v>
      </c>
    </row>
    <row r="26" spans="1:20" x14ac:dyDescent="0.2">
      <c r="A26">
        <v>2026</v>
      </c>
      <c r="B26" t="s">
        <v>11</v>
      </c>
      <c r="C26" t="s">
        <v>55</v>
      </c>
      <c r="D26" t="s">
        <v>44</v>
      </c>
      <c r="E26" t="s">
        <v>31</v>
      </c>
      <c r="F26" t="s">
        <v>15</v>
      </c>
      <c r="G26">
        <v>89</v>
      </c>
      <c r="H26">
        <v>3</v>
      </c>
      <c r="I26">
        <v>267</v>
      </c>
      <c r="J26" t="s">
        <v>103</v>
      </c>
      <c r="K26" t="s">
        <v>104</v>
      </c>
      <c r="L26" t="s">
        <v>11</v>
      </c>
      <c r="M26" t="s">
        <v>329</v>
      </c>
      <c r="N26" t="s">
        <v>244</v>
      </c>
      <c r="O26" t="s">
        <v>238</v>
      </c>
      <c r="P26" t="s">
        <v>238</v>
      </c>
      <c r="Q26" t="b">
        <v>1</v>
      </c>
      <c r="R26" t="s">
        <v>340</v>
      </c>
      <c r="S26" t="s">
        <v>309</v>
      </c>
      <c r="T26" t="s">
        <v>310</v>
      </c>
    </row>
    <row r="27" spans="1:20" x14ac:dyDescent="0.2">
      <c r="A27">
        <v>2027</v>
      </c>
      <c r="B27" t="s">
        <v>105</v>
      </c>
      <c r="C27" t="s">
        <v>12</v>
      </c>
      <c r="D27" t="s">
        <v>30</v>
      </c>
      <c r="E27" t="s">
        <v>31</v>
      </c>
      <c r="F27" t="s">
        <v>21</v>
      </c>
      <c r="G27">
        <v>899</v>
      </c>
      <c r="H27">
        <v>5</v>
      </c>
      <c r="I27">
        <v>4495</v>
      </c>
      <c r="J27" t="s">
        <v>106</v>
      </c>
      <c r="K27" t="s">
        <v>107</v>
      </c>
      <c r="L27" t="s">
        <v>105</v>
      </c>
      <c r="M27" t="s">
        <v>357</v>
      </c>
      <c r="N27" t="s">
        <v>265</v>
      </c>
      <c r="O27" t="s">
        <v>234</v>
      </c>
      <c r="P27" t="s">
        <v>234</v>
      </c>
      <c r="Q27" t="b">
        <v>1</v>
      </c>
      <c r="R27" t="s">
        <v>335</v>
      </c>
      <c r="S27" t="s">
        <v>326</v>
      </c>
      <c r="T27" t="s">
        <v>321</v>
      </c>
    </row>
    <row r="28" spans="1:20" x14ac:dyDescent="0.2">
      <c r="A28">
        <v>2028</v>
      </c>
      <c r="B28" t="s">
        <v>108</v>
      </c>
      <c r="C28" t="s">
        <v>12</v>
      </c>
      <c r="D28" t="s">
        <v>44</v>
      </c>
      <c r="E28" t="s">
        <v>31</v>
      </c>
      <c r="F28" t="s">
        <v>39</v>
      </c>
      <c r="G28">
        <v>499</v>
      </c>
      <c r="H28">
        <v>2</v>
      </c>
      <c r="I28">
        <v>998</v>
      </c>
      <c r="J28" t="s">
        <v>109</v>
      </c>
      <c r="K28" t="s">
        <v>110</v>
      </c>
      <c r="L28" t="s">
        <v>108</v>
      </c>
      <c r="M28" t="s">
        <v>358</v>
      </c>
      <c r="N28" t="s">
        <v>266</v>
      </c>
      <c r="O28" t="s">
        <v>236</v>
      </c>
      <c r="P28" t="s">
        <v>236</v>
      </c>
      <c r="Q28" t="b">
        <v>1</v>
      </c>
      <c r="R28" t="s">
        <v>340</v>
      </c>
      <c r="S28" t="s">
        <v>317</v>
      </c>
      <c r="T28" t="s">
        <v>318</v>
      </c>
    </row>
    <row r="29" spans="1:20" x14ac:dyDescent="0.2">
      <c r="A29">
        <v>2029</v>
      </c>
      <c r="B29" t="s">
        <v>111</v>
      </c>
      <c r="C29" t="s">
        <v>43</v>
      </c>
      <c r="D29" t="s">
        <v>77</v>
      </c>
      <c r="E29" t="s">
        <v>78</v>
      </c>
      <c r="F29" t="s">
        <v>26</v>
      </c>
      <c r="G29">
        <v>699</v>
      </c>
      <c r="H29">
        <v>1</v>
      </c>
      <c r="I29">
        <v>699</v>
      </c>
      <c r="J29" t="s">
        <v>16</v>
      </c>
      <c r="K29" t="s">
        <v>112</v>
      </c>
      <c r="L29" t="s">
        <v>111</v>
      </c>
      <c r="M29" t="s">
        <v>359</v>
      </c>
      <c r="N29" t="s">
        <v>267</v>
      </c>
      <c r="O29" t="s">
        <v>235</v>
      </c>
      <c r="P29" t="s">
        <v>235</v>
      </c>
      <c r="Q29" t="b">
        <v>1</v>
      </c>
      <c r="R29" t="s">
        <v>350</v>
      </c>
      <c r="S29" t="s">
        <v>309</v>
      </c>
      <c r="T29" t="s">
        <v>314</v>
      </c>
    </row>
    <row r="30" spans="1:20" x14ac:dyDescent="0.2">
      <c r="A30">
        <v>2030</v>
      </c>
      <c r="B30" t="s">
        <v>29</v>
      </c>
      <c r="C30" t="s">
        <v>12</v>
      </c>
      <c r="D30" t="s">
        <v>67</v>
      </c>
      <c r="E30" t="s">
        <v>68</v>
      </c>
      <c r="F30" t="s">
        <v>21</v>
      </c>
      <c r="G30">
        <v>899</v>
      </c>
      <c r="H30">
        <v>2</v>
      </c>
      <c r="I30">
        <v>1798</v>
      </c>
      <c r="J30" t="s">
        <v>22</v>
      </c>
      <c r="K30" t="s">
        <v>113</v>
      </c>
      <c r="L30" t="s">
        <v>29</v>
      </c>
      <c r="M30" t="s">
        <v>334</v>
      </c>
      <c r="N30" t="s">
        <v>247</v>
      </c>
      <c r="O30" t="s">
        <v>234</v>
      </c>
      <c r="P30" t="s">
        <v>234</v>
      </c>
      <c r="Q30" t="b">
        <v>1</v>
      </c>
      <c r="R30" t="s">
        <v>346</v>
      </c>
      <c r="S30" t="s">
        <v>313</v>
      </c>
      <c r="T30" t="s">
        <v>315</v>
      </c>
    </row>
    <row r="31" spans="1:20" x14ac:dyDescent="0.2">
      <c r="A31">
        <v>2031</v>
      </c>
      <c r="B31" t="s">
        <v>114</v>
      </c>
      <c r="C31" t="s">
        <v>55</v>
      </c>
      <c r="D31" t="s">
        <v>13</v>
      </c>
      <c r="E31" t="s">
        <v>14</v>
      </c>
      <c r="F31" t="s">
        <v>21</v>
      </c>
      <c r="G31">
        <v>899</v>
      </c>
      <c r="H31">
        <v>5</v>
      </c>
      <c r="I31">
        <v>4495</v>
      </c>
      <c r="J31" t="s">
        <v>27</v>
      </c>
      <c r="K31" t="s">
        <v>115</v>
      </c>
      <c r="L31" t="s">
        <v>114</v>
      </c>
      <c r="M31" t="s">
        <v>360</v>
      </c>
      <c r="N31" t="s">
        <v>268</v>
      </c>
      <c r="O31" t="s">
        <v>234</v>
      </c>
      <c r="P31" t="s">
        <v>234</v>
      </c>
      <c r="Q31" t="b">
        <v>1</v>
      </c>
      <c r="R31" t="s">
        <v>330</v>
      </c>
      <c r="S31" t="s">
        <v>311</v>
      </c>
      <c r="T31" t="s">
        <v>324</v>
      </c>
    </row>
    <row r="32" spans="1:20" x14ac:dyDescent="0.2">
      <c r="A32">
        <v>2032</v>
      </c>
      <c r="B32" t="s">
        <v>116</v>
      </c>
      <c r="C32" t="s">
        <v>55</v>
      </c>
      <c r="D32" t="s">
        <v>19</v>
      </c>
      <c r="E32" t="s">
        <v>20</v>
      </c>
      <c r="F32" t="s">
        <v>48</v>
      </c>
      <c r="G32">
        <v>299</v>
      </c>
      <c r="H32">
        <v>3</v>
      </c>
      <c r="I32">
        <v>897</v>
      </c>
      <c r="J32" t="s">
        <v>32</v>
      </c>
      <c r="K32" t="s">
        <v>117</v>
      </c>
      <c r="L32" t="s">
        <v>116</v>
      </c>
      <c r="M32" t="s">
        <v>116</v>
      </c>
      <c r="N32" t="s">
        <v>269</v>
      </c>
      <c r="O32" t="s">
        <v>237</v>
      </c>
      <c r="P32" t="s">
        <v>237</v>
      </c>
      <c r="Q32" t="b">
        <v>1</v>
      </c>
      <c r="R32" t="s">
        <v>332</v>
      </c>
      <c r="S32" t="s">
        <v>322</v>
      </c>
      <c r="T32" t="s">
        <v>310</v>
      </c>
    </row>
    <row r="33" spans="1:20" x14ac:dyDescent="0.2">
      <c r="A33">
        <v>2033</v>
      </c>
      <c r="B33" t="s">
        <v>118</v>
      </c>
      <c r="C33" t="s">
        <v>25</v>
      </c>
      <c r="D33" t="s">
        <v>77</v>
      </c>
      <c r="E33" t="s">
        <v>78</v>
      </c>
      <c r="F33" t="s">
        <v>21</v>
      </c>
      <c r="G33">
        <v>899</v>
      </c>
      <c r="H33">
        <v>5</v>
      </c>
      <c r="I33">
        <v>4495</v>
      </c>
      <c r="J33" t="s">
        <v>36</v>
      </c>
      <c r="K33" t="s">
        <v>119</v>
      </c>
      <c r="L33" t="s">
        <v>118</v>
      </c>
      <c r="M33" t="s">
        <v>361</v>
      </c>
      <c r="N33" t="s">
        <v>270</v>
      </c>
      <c r="O33" t="s">
        <v>234</v>
      </c>
      <c r="P33" t="s">
        <v>234</v>
      </c>
      <c r="Q33" t="b">
        <v>1</v>
      </c>
      <c r="R33" t="s">
        <v>350</v>
      </c>
      <c r="S33" t="s">
        <v>323</v>
      </c>
      <c r="T33" t="s">
        <v>318</v>
      </c>
    </row>
    <row r="34" spans="1:20" x14ac:dyDescent="0.2">
      <c r="A34">
        <v>2034</v>
      </c>
      <c r="B34" t="s">
        <v>120</v>
      </c>
      <c r="C34" t="s">
        <v>55</v>
      </c>
      <c r="D34" t="s">
        <v>44</v>
      </c>
      <c r="E34" t="s">
        <v>31</v>
      </c>
      <c r="F34" t="s">
        <v>26</v>
      </c>
      <c r="G34">
        <v>699</v>
      </c>
      <c r="H34">
        <v>1</v>
      </c>
      <c r="I34">
        <v>699</v>
      </c>
      <c r="J34" t="s">
        <v>40</v>
      </c>
      <c r="K34" t="s">
        <v>121</v>
      </c>
      <c r="L34" t="s">
        <v>120</v>
      </c>
      <c r="M34" t="s">
        <v>362</v>
      </c>
      <c r="N34" t="s">
        <v>271</v>
      </c>
      <c r="O34" t="s">
        <v>235</v>
      </c>
      <c r="P34" t="s">
        <v>235</v>
      </c>
      <c r="Q34" t="b">
        <v>1</v>
      </c>
      <c r="R34" t="s">
        <v>340</v>
      </c>
      <c r="S34" t="s">
        <v>326</v>
      </c>
      <c r="T34" t="s">
        <v>314</v>
      </c>
    </row>
    <row r="35" spans="1:20" x14ac:dyDescent="0.2">
      <c r="A35">
        <v>2035</v>
      </c>
      <c r="B35" t="s">
        <v>108</v>
      </c>
      <c r="C35" t="s">
        <v>55</v>
      </c>
      <c r="D35" t="s">
        <v>30</v>
      </c>
      <c r="E35" t="s">
        <v>31</v>
      </c>
      <c r="F35" t="s">
        <v>15</v>
      </c>
      <c r="G35">
        <v>89</v>
      </c>
      <c r="H35">
        <v>2</v>
      </c>
      <c r="I35">
        <v>178</v>
      </c>
      <c r="J35" t="s">
        <v>45</v>
      </c>
      <c r="K35" t="s">
        <v>122</v>
      </c>
      <c r="L35" t="s">
        <v>108</v>
      </c>
      <c r="M35" t="s">
        <v>358</v>
      </c>
      <c r="N35" t="s">
        <v>266</v>
      </c>
      <c r="O35" t="s">
        <v>238</v>
      </c>
      <c r="P35" t="s">
        <v>238</v>
      </c>
      <c r="Q35" t="b">
        <v>1</v>
      </c>
      <c r="R35" t="s">
        <v>335</v>
      </c>
      <c r="S35" t="s">
        <v>317</v>
      </c>
      <c r="T35" t="s">
        <v>318</v>
      </c>
    </row>
    <row r="36" spans="1:20" x14ac:dyDescent="0.2">
      <c r="A36">
        <v>2036</v>
      </c>
      <c r="B36" t="s">
        <v>123</v>
      </c>
      <c r="C36" t="s">
        <v>12</v>
      </c>
      <c r="D36" t="s">
        <v>13</v>
      </c>
      <c r="E36" t="s">
        <v>14</v>
      </c>
      <c r="F36" t="s">
        <v>26</v>
      </c>
      <c r="G36">
        <v>699</v>
      </c>
      <c r="H36">
        <v>5</v>
      </c>
      <c r="I36">
        <v>3495</v>
      </c>
      <c r="J36" t="s">
        <v>49</v>
      </c>
      <c r="K36" t="s">
        <v>124</v>
      </c>
      <c r="L36" t="s">
        <v>123</v>
      </c>
      <c r="M36" t="s">
        <v>123</v>
      </c>
      <c r="N36" t="s">
        <v>272</v>
      </c>
      <c r="O36" t="s">
        <v>235</v>
      </c>
      <c r="P36" t="s">
        <v>235</v>
      </c>
      <c r="Q36" t="b">
        <v>1</v>
      </c>
      <c r="R36" t="s">
        <v>330</v>
      </c>
      <c r="S36" t="s">
        <v>322</v>
      </c>
      <c r="T36" t="s">
        <v>316</v>
      </c>
    </row>
    <row r="37" spans="1:20" x14ac:dyDescent="0.2">
      <c r="A37">
        <v>2037</v>
      </c>
      <c r="B37" t="s">
        <v>125</v>
      </c>
      <c r="C37" t="s">
        <v>55</v>
      </c>
      <c r="D37" t="s">
        <v>67</v>
      </c>
      <c r="E37" t="s">
        <v>68</v>
      </c>
      <c r="F37" t="s">
        <v>15</v>
      </c>
      <c r="G37">
        <v>89</v>
      </c>
      <c r="H37">
        <v>3</v>
      </c>
      <c r="I37">
        <v>267</v>
      </c>
      <c r="J37" t="s">
        <v>52</v>
      </c>
      <c r="K37" t="s">
        <v>126</v>
      </c>
      <c r="L37" t="s">
        <v>125</v>
      </c>
      <c r="M37" t="s">
        <v>363</v>
      </c>
      <c r="N37" t="s">
        <v>273</v>
      </c>
      <c r="O37" t="s">
        <v>238</v>
      </c>
      <c r="P37" t="s">
        <v>238</v>
      </c>
      <c r="Q37" t="b">
        <v>1</v>
      </c>
      <c r="R37" t="s">
        <v>346</v>
      </c>
      <c r="S37" t="s">
        <v>325</v>
      </c>
      <c r="T37" t="s">
        <v>310</v>
      </c>
    </row>
    <row r="38" spans="1:20" x14ac:dyDescent="0.2">
      <c r="A38">
        <v>2038</v>
      </c>
      <c r="B38" t="s">
        <v>127</v>
      </c>
      <c r="C38" t="s">
        <v>55</v>
      </c>
      <c r="D38" t="s">
        <v>77</v>
      </c>
      <c r="E38" t="s">
        <v>78</v>
      </c>
      <c r="F38" t="s">
        <v>26</v>
      </c>
      <c r="G38">
        <v>699</v>
      </c>
      <c r="H38">
        <v>3</v>
      </c>
      <c r="I38">
        <v>2097</v>
      </c>
      <c r="J38" t="s">
        <v>56</v>
      </c>
      <c r="K38" t="s">
        <v>128</v>
      </c>
      <c r="L38" t="s">
        <v>127</v>
      </c>
      <c r="M38" t="s">
        <v>364</v>
      </c>
      <c r="N38" t="s">
        <v>274</v>
      </c>
      <c r="O38" t="s">
        <v>235</v>
      </c>
      <c r="P38" t="s">
        <v>235</v>
      </c>
      <c r="Q38" t="b">
        <v>1</v>
      </c>
      <c r="R38" t="s">
        <v>350</v>
      </c>
      <c r="S38" t="s">
        <v>317</v>
      </c>
      <c r="T38" t="s">
        <v>321</v>
      </c>
    </row>
    <row r="39" spans="1:20" x14ac:dyDescent="0.2">
      <c r="A39">
        <v>2039</v>
      </c>
      <c r="B39" t="s">
        <v>129</v>
      </c>
      <c r="C39" t="s">
        <v>12</v>
      </c>
      <c r="D39" t="s">
        <v>77</v>
      </c>
      <c r="E39" t="s">
        <v>78</v>
      </c>
      <c r="F39" t="s">
        <v>21</v>
      </c>
      <c r="G39">
        <v>899</v>
      </c>
      <c r="H39">
        <v>1</v>
      </c>
      <c r="I39">
        <v>899</v>
      </c>
      <c r="J39" t="s">
        <v>58</v>
      </c>
      <c r="K39" t="s">
        <v>130</v>
      </c>
      <c r="L39" t="s">
        <v>129</v>
      </c>
      <c r="M39" t="s">
        <v>365</v>
      </c>
      <c r="N39" t="s">
        <v>275</v>
      </c>
      <c r="O39" t="s">
        <v>234</v>
      </c>
      <c r="P39" t="s">
        <v>234</v>
      </c>
      <c r="Q39" t="b">
        <v>1</v>
      </c>
      <c r="R39" t="s">
        <v>350</v>
      </c>
      <c r="S39" t="s">
        <v>327</v>
      </c>
      <c r="T39" t="s">
        <v>314</v>
      </c>
    </row>
    <row r="40" spans="1:20" x14ac:dyDescent="0.2">
      <c r="A40">
        <v>2040</v>
      </c>
      <c r="B40" t="s">
        <v>84</v>
      </c>
      <c r="C40" t="s">
        <v>55</v>
      </c>
      <c r="D40" t="s">
        <v>35</v>
      </c>
      <c r="E40" t="s">
        <v>20</v>
      </c>
      <c r="F40" t="s">
        <v>15</v>
      </c>
      <c r="G40">
        <v>89</v>
      </c>
      <c r="H40">
        <v>3</v>
      </c>
      <c r="I40">
        <v>267</v>
      </c>
      <c r="J40" t="s">
        <v>61</v>
      </c>
      <c r="K40" t="s">
        <v>131</v>
      </c>
      <c r="L40" t="s">
        <v>84</v>
      </c>
      <c r="M40" t="s">
        <v>352</v>
      </c>
      <c r="N40" t="s">
        <v>260</v>
      </c>
      <c r="O40" t="s">
        <v>238</v>
      </c>
      <c r="P40" t="s">
        <v>238</v>
      </c>
      <c r="Q40" t="b">
        <v>1</v>
      </c>
      <c r="R40" t="s">
        <v>337</v>
      </c>
      <c r="S40" t="s">
        <v>313</v>
      </c>
      <c r="T40" t="s">
        <v>321</v>
      </c>
    </row>
    <row r="41" spans="1:20" x14ac:dyDescent="0.2">
      <c r="A41">
        <v>2041</v>
      </c>
      <c r="B41" t="s">
        <v>132</v>
      </c>
      <c r="C41" t="s">
        <v>25</v>
      </c>
      <c r="D41" t="s">
        <v>35</v>
      </c>
      <c r="E41" t="s">
        <v>20</v>
      </c>
      <c r="F41" t="s">
        <v>15</v>
      </c>
      <c r="G41">
        <v>89</v>
      </c>
      <c r="H41">
        <v>2</v>
      </c>
      <c r="I41">
        <v>178</v>
      </c>
      <c r="J41" t="s">
        <v>64</v>
      </c>
      <c r="K41" t="s">
        <v>133</v>
      </c>
      <c r="L41" t="s">
        <v>132</v>
      </c>
      <c r="M41" t="s">
        <v>132</v>
      </c>
      <c r="N41" t="s">
        <v>276</v>
      </c>
      <c r="O41" t="s">
        <v>238</v>
      </c>
      <c r="P41" t="s">
        <v>238</v>
      </c>
      <c r="Q41" t="b">
        <v>1</v>
      </c>
      <c r="R41" t="s">
        <v>337</v>
      </c>
      <c r="S41" t="s">
        <v>323</v>
      </c>
      <c r="T41" t="s">
        <v>312</v>
      </c>
    </row>
    <row r="42" spans="1:20" x14ac:dyDescent="0.2">
      <c r="A42">
        <v>2042</v>
      </c>
      <c r="B42" t="s">
        <v>134</v>
      </c>
      <c r="C42" t="s">
        <v>12</v>
      </c>
      <c r="D42" t="s">
        <v>44</v>
      </c>
      <c r="E42" t="s">
        <v>31</v>
      </c>
      <c r="F42" t="s">
        <v>15</v>
      </c>
      <c r="G42">
        <v>89</v>
      </c>
      <c r="H42">
        <v>1</v>
      </c>
      <c r="I42">
        <v>89</v>
      </c>
      <c r="J42" t="s">
        <v>69</v>
      </c>
      <c r="K42" t="s">
        <v>135</v>
      </c>
      <c r="L42" t="s">
        <v>134</v>
      </c>
      <c r="M42" t="s">
        <v>366</v>
      </c>
      <c r="N42" t="s">
        <v>277</v>
      </c>
      <c r="O42" t="s">
        <v>238</v>
      </c>
      <c r="P42" t="s">
        <v>238</v>
      </c>
      <c r="Q42" t="b">
        <v>1</v>
      </c>
      <c r="R42" t="s">
        <v>340</v>
      </c>
      <c r="S42" t="s">
        <v>313</v>
      </c>
      <c r="T42" t="s">
        <v>324</v>
      </c>
    </row>
    <row r="43" spans="1:20" x14ac:dyDescent="0.2">
      <c r="A43">
        <v>2043</v>
      </c>
      <c r="B43" t="s">
        <v>136</v>
      </c>
      <c r="C43" t="s">
        <v>55</v>
      </c>
      <c r="D43" t="s">
        <v>13</v>
      </c>
      <c r="E43" t="s">
        <v>14</v>
      </c>
      <c r="F43" t="s">
        <v>21</v>
      </c>
      <c r="G43">
        <v>899</v>
      </c>
      <c r="H43">
        <v>5</v>
      </c>
      <c r="I43">
        <v>4495</v>
      </c>
      <c r="J43" t="s">
        <v>74</v>
      </c>
      <c r="K43" t="s">
        <v>137</v>
      </c>
      <c r="L43" t="s">
        <v>136</v>
      </c>
      <c r="M43" t="s">
        <v>367</v>
      </c>
      <c r="N43" t="s">
        <v>278</v>
      </c>
      <c r="O43" t="s">
        <v>234</v>
      </c>
      <c r="P43" t="s">
        <v>234</v>
      </c>
      <c r="Q43" t="b">
        <v>1</v>
      </c>
      <c r="R43" t="s">
        <v>330</v>
      </c>
      <c r="S43" t="s">
        <v>319</v>
      </c>
      <c r="T43" t="s">
        <v>318</v>
      </c>
    </row>
    <row r="44" spans="1:20" x14ac:dyDescent="0.2">
      <c r="A44">
        <v>2044</v>
      </c>
      <c r="B44" t="s">
        <v>105</v>
      </c>
      <c r="C44" t="s">
        <v>12</v>
      </c>
      <c r="D44" t="s">
        <v>19</v>
      </c>
      <c r="E44" t="s">
        <v>20</v>
      </c>
      <c r="F44" t="s">
        <v>39</v>
      </c>
      <c r="G44">
        <v>499</v>
      </c>
      <c r="H44">
        <v>4</v>
      </c>
      <c r="I44">
        <v>1996</v>
      </c>
      <c r="J44" t="s">
        <v>79</v>
      </c>
      <c r="K44" t="s">
        <v>138</v>
      </c>
      <c r="L44" t="s">
        <v>105</v>
      </c>
      <c r="M44" t="s">
        <v>357</v>
      </c>
      <c r="N44" t="s">
        <v>265</v>
      </c>
      <c r="O44" t="s">
        <v>236</v>
      </c>
      <c r="P44" t="s">
        <v>236</v>
      </c>
      <c r="Q44" t="b">
        <v>1</v>
      </c>
      <c r="R44" t="s">
        <v>332</v>
      </c>
      <c r="S44" t="s">
        <v>326</v>
      </c>
      <c r="T44" t="s">
        <v>321</v>
      </c>
    </row>
    <row r="45" spans="1:20" x14ac:dyDescent="0.2">
      <c r="A45">
        <v>2045</v>
      </c>
      <c r="B45" t="s">
        <v>139</v>
      </c>
      <c r="C45" t="s">
        <v>25</v>
      </c>
      <c r="D45" t="s">
        <v>77</v>
      </c>
      <c r="E45" t="s">
        <v>78</v>
      </c>
      <c r="F45" t="s">
        <v>15</v>
      </c>
      <c r="G45">
        <v>89</v>
      </c>
      <c r="H45">
        <v>3</v>
      </c>
      <c r="I45">
        <v>267</v>
      </c>
      <c r="J45" t="s">
        <v>82</v>
      </c>
      <c r="K45" t="s">
        <v>140</v>
      </c>
      <c r="L45" t="s">
        <v>139</v>
      </c>
      <c r="M45" t="s">
        <v>368</v>
      </c>
      <c r="N45" t="s">
        <v>279</v>
      </c>
      <c r="O45" t="s">
        <v>238</v>
      </c>
      <c r="P45" t="s">
        <v>238</v>
      </c>
      <c r="Q45" t="b">
        <v>1</v>
      </c>
      <c r="R45" t="s">
        <v>350</v>
      </c>
      <c r="S45" t="s">
        <v>319</v>
      </c>
      <c r="T45" t="s">
        <v>314</v>
      </c>
    </row>
    <row r="46" spans="1:20" x14ac:dyDescent="0.2">
      <c r="A46">
        <v>2047</v>
      </c>
      <c r="B46" t="s">
        <v>141</v>
      </c>
      <c r="C46" t="s">
        <v>55</v>
      </c>
      <c r="D46" t="s">
        <v>77</v>
      </c>
      <c r="E46" t="s">
        <v>78</v>
      </c>
      <c r="F46" t="s">
        <v>39</v>
      </c>
      <c r="G46">
        <v>499</v>
      </c>
      <c r="H46">
        <v>4</v>
      </c>
      <c r="I46">
        <v>1996</v>
      </c>
      <c r="J46" t="s">
        <v>88</v>
      </c>
      <c r="K46" t="s">
        <v>142</v>
      </c>
      <c r="L46" t="s">
        <v>141</v>
      </c>
      <c r="M46" t="s">
        <v>369</v>
      </c>
      <c r="N46" t="s">
        <v>280</v>
      </c>
      <c r="O46" t="s">
        <v>236</v>
      </c>
      <c r="P46" t="s">
        <v>236</v>
      </c>
      <c r="Q46" t="b">
        <v>1</v>
      </c>
      <c r="R46" t="s">
        <v>350</v>
      </c>
      <c r="S46" t="s">
        <v>317</v>
      </c>
      <c r="T46" t="s">
        <v>310</v>
      </c>
    </row>
    <row r="47" spans="1:20" x14ac:dyDescent="0.2">
      <c r="A47">
        <v>2048</v>
      </c>
      <c r="B47" t="s">
        <v>143</v>
      </c>
      <c r="C47" t="s">
        <v>43</v>
      </c>
      <c r="D47" t="s">
        <v>67</v>
      </c>
      <c r="E47" t="s">
        <v>68</v>
      </c>
      <c r="F47" t="s">
        <v>15</v>
      </c>
      <c r="G47">
        <v>89</v>
      </c>
      <c r="H47">
        <v>1</v>
      </c>
      <c r="I47">
        <v>89</v>
      </c>
      <c r="J47" t="s">
        <v>91</v>
      </c>
      <c r="K47" t="s">
        <v>144</v>
      </c>
      <c r="L47" t="s">
        <v>143</v>
      </c>
      <c r="M47" t="s">
        <v>370</v>
      </c>
      <c r="N47" t="s">
        <v>281</v>
      </c>
      <c r="O47" t="s">
        <v>238</v>
      </c>
      <c r="P47" t="s">
        <v>238</v>
      </c>
      <c r="Q47" t="b">
        <v>1</v>
      </c>
      <c r="R47" t="s">
        <v>346</v>
      </c>
      <c r="S47" t="s">
        <v>319</v>
      </c>
      <c r="T47" t="s">
        <v>315</v>
      </c>
    </row>
    <row r="48" spans="1:20" x14ac:dyDescent="0.2">
      <c r="A48">
        <v>2049</v>
      </c>
      <c r="B48" t="s">
        <v>145</v>
      </c>
      <c r="C48" t="s">
        <v>55</v>
      </c>
      <c r="D48" t="s">
        <v>30</v>
      </c>
      <c r="E48" t="s">
        <v>31</v>
      </c>
      <c r="F48" t="s">
        <v>48</v>
      </c>
      <c r="G48">
        <v>299</v>
      </c>
      <c r="H48">
        <v>4</v>
      </c>
      <c r="I48">
        <v>1196</v>
      </c>
      <c r="J48" t="s">
        <v>146</v>
      </c>
      <c r="K48" t="s">
        <v>147</v>
      </c>
      <c r="L48" t="s">
        <v>145</v>
      </c>
      <c r="M48" t="s">
        <v>371</v>
      </c>
      <c r="N48" t="s">
        <v>282</v>
      </c>
      <c r="O48" t="s">
        <v>237</v>
      </c>
      <c r="P48" t="s">
        <v>237</v>
      </c>
      <c r="Q48" t="b">
        <v>1</v>
      </c>
      <c r="R48" t="s">
        <v>335</v>
      </c>
      <c r="S48" t="s">
        <v>322</v>
      </c>
      <c r="T48" t="s">
        <v>328</v>
      </c>
    </row>
    <row r="49" spans="1:20" x14ac:dyDescent="0.2">
      <c r="A49">
        <v>2050</v>
      </c>
      <c r="B49" t="s">
        <v>118</v>
      </c>
      <c r="C49" t="s">
        <v>43</v>
      </c>
      <c r="D49" t="s">
        <v>35</v>
      </c>
      <c r="E49" t="s">
        <v>20</v>
      </c>
      <c r="F49" t="s">
        <v>15</v>
      </c>
      <c r="G49">
        <v>89</v>
      </c>
      <c r="H49">
        <v>4</v>
      </c>
      <c r="I49">
        <v>356</v>
      </c>
      <c r="J49" t="s">
        <v>94</v>
      </c>
      <c r="K49" t="s">
        <v>148</v>
      </c>
      <c r="L49" t="s">
        <v>118</v>
      </c>
      <c r="M49" t="s">
        <v>361</v>
      </c>
      <c r="N49" t="s">
        <v>270</v>
      </c>
      <c r="O49" t="s">
        <v>238</v>
      </c>
      <c r="P49" t="s">
        <v>238</v>
      </c>
      <c r="Q49" t="b">
        <v>1</v>
      </c>
      <c r="R49" t="s">
        <v>337</v>
      </c>
      <c r="S49" t="s">
        <v>323</v>
      </c>
      <c r="T49" t="s">
        <v>318</v>
      </c>
    </row>
    <row r="50" spans="1:20" x14ac:dyDescent="0.2">
      <c r="A50">
        <v>2051</v>
      </c>
      <c r="B50" t="s">
        <v>149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2</v>
      </c>
      <c r="I50">
        <v>598</v>
      </c>
      <c r="J50" t="s">
        <v>96</v>
      </c>
      <c r="K50" t="s">
        <v>150</v>
      </c>
      <c r="L50" t="s">
        <v>149</v>
      </c>
      <c r="M50" t="s">
        <v>372</v>
      </c>
      <c r="N50" t="s">
        <v>283</v>
      </c>
      <c r="O50" t="s">
        <v>237</v>
      </c>
      <c r="P50" t="s">
        <v>237</v>
      </c>
      <c r="Q50" t="b">
        <v>1</v>
      </c>
      <c r="R50" t="s">
        <v>335</v>
      </c>
      <c r="S50" t="s">
        <v>311</v>
      </c>
      <c r="T50" t="s">
        <v>320</v>
      </c>
    </row>
    <row r="51" spans="1:20" x14ac:dyDescent="0.2">
      <c r="A51">
        <v>2052</v>
      </c>
      <c r="B51" t="s">
        <v>151</v>
      </c>
      <c r="C51" t="s">
        <v>12</v>
      </c>
      <c r="D51" t="s">
        <v>44</v>
      </c>
      <c r="E51" t="s">
        <v>31</v>
      </c>
      <c r="F51" t="s">
        <v>15</v>
      </c>
      <c r="G51">
        <v>89</v>
      </c>
      <c r="H51">
        <v>5</v>
      </c>
      <c r="I51">
        <v>445</v>
      </c>
      <c r="J51" t="s">
        <v>98</v>
      </c>
      <c r="K51" t="s">
        <v>152</v>
      </c>
      <c r="L51" t="s">
        <v>151</v>
      </c>
      <c r="M51" t="s">
        <v>373</v>
      </c>
      <c r="N51" t="s">
        <v>284</v>
      </c>
      <c r="O51" t="s">
        <v>238</v>
      </c>
      <c r="P51" t="s">
        <v>238</v>
      </c>
      <c r="Q51" t="b">
        <v>1</v>
      </c>
      <c r="R51" t="s">
        <v>340</v>
      </c>
      <c r="S51" t="s">
        <v>326</v>
      </c>
      <c r="T51" t="s">
        <v>312</v>
      </c>
    </row>
    <row r="52" spans="1:20" x14ac:dyDescent="0.2">
      <c r="A52">
        <v>2053</v>
      </c>
      <c r="B52" t="s">
        <v>153</v>
      </c>
      <c r="C52" t="s">
        <v>55</v>
      </c>
      <c r="D52" t="s">
        <v>13</v>
      </c>
      <c r="E52" t="s">
        <v>14</v>
      </c>
      <c r="F52" t="s">
        <v>26</v>
      </c>
      <c r="G52">
        <v>699</v>
      </c>
      <c r="H52">
        <v>2</v>
      </c>
      <c r="I52">
        <v>1398</v>
      </c>
      <c r="J52" t="s">
        <v>101</v>
      </c>
      <c r="K52" t="s">
        <v>154</v>
      </c>
      <c r="L52" t="s">
        <v>153</v>
      </c>
      <c r="M52" t="s">
        <v>374</v>
      </c>
      <c r="N52" t="s">
        <v>285</v>
      </c>
      <c r="O52" t="s">
        <v>235</v>
      </c>
      <c r="P52" t="s">
        <v>235</v>
      </c>
      <c r="Q52" t="b">
        <v>1</v>
      </c>
      <c r="R52" t="s">
        <v>330</v>
      </c>
      <c r="S52" t="s">
        <v>327</v>
      </c>
      <c r="T52" t="s">
        <v>312</v>
      </c>
    </row>
    <row r="53" spans="1:20" x14ac:dyDescent="0.2">
      <c r="A53">
        <v>2054</v>
      </c>
      <c r="B53" t="s">
        <v>155</v>
      </c>
      <c r="C53" t="s">
        <v>12</v>
      </c>
      <c r="D53" t="s">
        <v>30</v>
      </c>
      <c r="E53" t="s">
        <v>31</v>
      </c>
      <c r="F53" t="s">
        <v>21</v>
      </c>
      <c r="G53">
        <v>899</v>
      </c>
      <c r="H53">
        <v>4</v>
      </c>
      <c r="I53">
        <v>3596</v>
      </c>
      <c r="J53" t="s">
        <v>103</v>
      </c>
      <c r="K53" t="s">
        <v>156</v>
      </c>
      <c r="L53" t="s">
        <v>155</v>
      </c>
      <c r="M53" t="s">
        <v>375</v>
      </c>
      <c r="N53" t="s">
        <v>286</v>
      </c>
      <c r="O53" t="s">
        <v>234</v>
      </c>
      <c r="P53" t="s">
        <v>234</v>
      </c>
      <c r="Q53" t="b">
        <v>1</v>
      </c>
      <c r="R53" t="s">
        <v>335</v>
      </c>
      <c r="S53" t="s">
        <v>325</v>
      </c>
      <c r="T53" t="s">
        <v>312</v>
      </c>
    </row>
    <row r="54" spans="1:20" x14ac:dyDescent="0.2">
      <c r="A54">
        <v>2055</v>
      </c>
      <c r="B54" t="s">
        <v>157</v>
      </c>
      <c r="C54" t="s">
        <v>43</v>
      </c>
      <c r="D54" t="s">
        <v>19</v>
      </c>
      <c r="E54" t="s">
        <v>20</v>
      </c>
      <c r="F54" t="s">
        <v>26</v>
      </c>
      <c r="G54">
        <v>699</v>
      </c>
      <c r="H54">
        <v>5</v>
      </c>
      <c r="I54">
        <v>3495</v>
      </c>
      <c r="J54" t="s">
        <v>106</v>
      </c>
      <c r="K54" t="s">
        <v>158</v>
      </c>
      <c r="L54" t="s">
        <v>157</v>
      </c>
      <c r="M54" t="s">
        <v>376</v>
      </c>
      <c r="N54" t="s">
        <v>287</v>
      </c>
      <c r="O54" t="s">
        <v>235</v>
      </c>
      <c r="P54" t="s">
        <v>235</v>
      </c>
      <c r="Q54" t="b">
        <v>1</v>
      </c>
      <c r="R54" t="s">
        <v>332</v>
      </c>
      <c r="S54" t="s">
        <v>309</v>
      </c>
      <c r="T54" t="s">
        <v>312</v>
      </c>
    </row>
    <row r="55" spans="1:20" x14ac:dyDescent="0.2">
      <c r="A55">
        <v>2056</v>
      </c>
      <c r="B55" t="s">
        <v>159</v>
      </c>
      <c r="C55" t="s">
        <v>43</v>
      </c>
      <c r="D55" t="s">
        <v>67</v>
      </c>
      <c r="E55" t="s">
        <v>68</v>
      </c>
      <c r="F55" t="s">
        <v>15</v>
      </c>
      <c r="G55">
        <v>89</v>
      </c>
      <c r="H55">
        <v>3</v>
      </c>
      <c r="I55">
        <v>267</v>
      </c>
      <c r="J55" t="s">
        <v>109</v>
      </c>
      <c r="K55" t="s">
        <v>160</v>
      </c>
      <c r="L55" t="s">
        <v>159</v>
      </c>
      <c r="M55" t="s">
        <v>159</v>
      </c>
      <c r="N55" t="s">
        <v>288</v>
      </c>
      <c r="O55" t="s">
        <v>238</v>
      </c>
      <c r="P55" t="s">
        <v>238</v>
      </c>
      <c r="Q55" t="b">
        <v>1</v>
      </c>
      <c r="R55" t="s">
        <v>346</v>
      </c>
      <c r="S55" t="s">
        <v>323</v>
      </c>
      <c r="T55" t="s">
        <v>316</v>
      </c>
    </row>
    <row r="56" spans="1:20" x14ac:dyDescent="0.2">
      <c r="A56">
        <v>2057</v>
      </c>
      <c r="B56" t="s">
        <v>153</v>
      </c>
      <c r="C56" t="s">
        <v>12</v>
      </c>
      <c r="D56" t="s">
        <v>67</v>
      </c>
      <c r="E56" t="s">
        <v>68</v>
      </c>
      <c r="F56" t="s">
        <v>15</v>
      </c>
      <c r="G56">
        <v>89</v>
      </c>
      <c r="H56">
        <v>3</v>
      </c>
      <c r="I56">
        <v>267</v>
      </c>
      <c r="J56" t="s">
        <v>16</v>
      </c>
      <c r="K56" t="s">
        <v>161</v>
      </c>
      <c r="L56" t="s">
        <v>153</v>
      </c>
      <c r="M56" t="s">
        <v>374</v>
      </c>
      <c r="N56" t="s">
        <v>285</v>
      </c>
      <c r="O56" t="s">
        <v>238</v>
      </c>
      <c r="P56" t="s">
        <v>238</v>
      </c>
      <c r="Q56" t="b">
        <v>1</v>
      </c>
      <c r="R56" t="s">
        <v>346</v>
      </c>
      <c r="S56" t="s">
        <v>327</v>
      </c>
      <c r="T56" t="s">
        <v>312</v>
      </c>
    </row>
    <row r="57" spans="1:20" x14ac:dyDescent="0.2">
      <c r="A57">
        <v>2058</v>
      </c>
      <c r="B57" t="s">
        <v>162</v>
      </c>
      <c r="C57" t="s">
        <v>25</v>
      </c>
      <c r="D57" t="s">
        <v>35</v>
      </c>
      <c r="E57" t="s">
        <v>20</v>
      </c>
      <c r="F57" t="s">
        <v>39</v>
      </c>
      <c r="G57">
        <v>499</v>
      </c>
      <c r="H57">
        <v>3</v>
      </c>
      <c r="I57">
        <v>1497</v>
      </c>
      <c r="J57" t="s">
        <v>22</v>
      </c>
      <c r="K57" t="s">
        <v>163</v>
      </c>
      <c r="L57" t="s">
        <v>162</v>
      </c>
      <c r="M57" t="s">
        <v>377</v>
      </c>
      <c r="N57" t="s">
        <v>289</v>
      </c>
      <c r="O57" t="s">
        <v>236</v>
      </c>
      <c r="P57" t="s">
        <v>236</v>
      </c>
      <c r="Q57" t="b">
        <v>1</v>
      </c>
      <c r="R57" t="s">
        <v>337</v>
      </c>
      <c r="S57" t="s">
        <v>323</v>
      </c>
      <c r="T57" t="s">
        <v>320</v>
      </c>
    </row>
    <row r="58" spans="1:20" x14ac:dyDescent="0.2">
      <c r="A58">
        <v>2059</v>
      </c>
      <c r="B58" t="s">
        <v>84</v>
      </c>
      <c r="C58" t="s">
        <v>12</v>
      </c>
      <c r="D58" t="s">
        <v>30</v>
      </c>
      <c r="E58" t="s">
        <v>31</v>
      </c>
      <c r="F58" t="s">
        <v>39</v>
      </c>
      <c r="G58">
        <v>499</v>
      </c>
      <c r="H58">
        <v>1</v>
      </c>
      <c r="I58">
        <v>499</v>
      </c>
      <c r="J58" t="s">
        <v>27</v>
      </c>
      <c r="K58" t="s">
        <v>164</v>
      </c>
      <c r="L58" t="s">
        <v>84</v>
      </c>
      <c r="M58" t="s">
        <v>352</v>
      </c>
      <c r="N58" t="s">
        <v>260</v>
      </c>
      <c r="O58" t="s">
        <v>236</v>
      </c>
      <c r="P58" t="s">
        <v>236</v>
      </c>
      <c r="Q58" t="b">
        <v>1</v>
      </c>
      <c r="R58" t="s">
        <v>335</v>
      </c>
      <c r="S58" t="s">
        <v>313</v>
      </c>
      <c r="T58" t="s">
        <v>321</v>
      </c>
    </row>
    <row r="59" spans="1:20" x14ac:dyDescent="0.2">
      <c r="A59">
        <v>2060</v>
      </c>
      <c r="B59" t="s">
        <v>116</v>
      </c>
      <c r="C59" t="s">
        <v>43</v>
      </c>
      <c r="D59" t="s">
        <v>44</v>
      </c>
      <c r="E59" t="s">
        <v>31</v>
      </c>
      <c r="F59" t="s">
        <v>26</v>
      </c>
      <c r="G59">
        <v>699</v>
      </c>
      <c r="H59">
        <v>2</v>
      </c>
      <c r="I59">
        <v>1398</v>
      </c>
      <c r="J59" t="s">
        <v>32</v>
      </c>
      <c r="K59" t="s">
        <v>165</v>
      </c>
      <c r="L59" t="s">
        <v>116</v>
      </c>
      <c r="M59" t="s">
        <v>116</v>
      </c>
      <c r="N59" t="s">
        <v>269</v>
      </c>
      <c r="O59" t="s">
        <v>235</v>
      </c>
      <c r="P59" t="s">
        <v>235</v>
      </c>
      <c r="Q59" t="b">
        <v>1</v>
      </c>
      <c r="R59" t="s">
        <v>340</v>
      </c>
      <c r="S59" t="s">
        <v>322</v>
      </c>
      <c r="T59" t="s">
        <v>310</v>
      </c>
    </row>
    <row r="60" spans="1:20" x14ac:dyDescent="0.2">
      <c r="A60">
        <v>2061</v>
      </c>
      <c r="B60" t="s">
        <v>66</v>
      </c>
      <c r="C60" t="s">
        <v>43</v>
      </c>
      <c r="D60" t="s">
        <v>77</v>
      </c>
      <c r="E60" t="s">
        <v>78</v>
      </c>
      <c r="F60" t="s">
        <v>15</v>
      </c>
      <c r="G60">
        <v>89</v>
      </c>
      <c r="H60">
        <v>2</v>
      </c>
      <c r="I60">
        <v>178</v>
      </c>
      <c r="J60" t="s">
        <v>36</v>
      </c>
      <c r="K60" t="s">
        <v>166</v>
      </c>
      <c r="L60" t="s">
        <v>66</v>
      </c>
      <c r="M60" t="s">
        <v>66</v>
      </c>
      <c r="N60" t="s">
        <v>256</v>
      </c>
      <c r="O60" t="s">
        <v>238</v>
      </c>
      <c r="P60" t="s">
        <v>238</v>
      </c>
      <c r="Q60" t="b">
        <v>1</v>
      </c>
      <c r="R60" t="s">
        <v>350</v>
      </c>
      <c r="S60" t="s">
        <v>322</v>
      </c>
      <c r="T60" t="s">
        <v>315</v>
      </c>
    </row>
    <row r="61" spans="1:20" x14ac:dyDescent="0.2">
      <c r="A61">
        <v>2062</v>
      </c>
      <c r="B61" t="s">
        <v>167</v>
      </c>
      <c r="C61" t="s">
        <v>55</v>
      </c>
      <c r="D61" t="s">
        <v>35</v>
      </c>
      <c r="E61" t="s">
        <v>20</v>
      </c>
      <c r="F61" t="s">
        <v>48</v>
      </c>
      <c r="G61">
        <v>299</v>
      </c>
      <c r="H61">
        <v>5</v>
      </c>
      <c r="I61">
        <v>1495</v>
      </c>
      <c r="J61" t="s">
        <v>40</v>
      </c>
      <c r="K61" t="s">
        <v>168</v>
      </c>
      <c r="L61" t="s">
        <v>167</v>
      </c>
      <c r="M61" t="s">
        <v>378</v>
      </c>
      <c r="N61" t="s">
        <v>290</v>
      </c>
      <c r="O61" t="s">
        <v>237</v>
      </c>
      <c r="P61" t="s">
        <v>237</v>
      </c>
      <c r="Q61" t="b">
        <v>1</v>
      </c>
      <c r="R61" t="s">
        <v>337</v>
      </c>
      <c r="S61" t="s">
        <v>311</v>
      </c>
      <c r="T61" t="s">
        <v>321</v>
      </c>
    </row>
    <row r="62" spans="1:20" x14ac:dyDescent="0.2">
      <c r="A62">
        <v>2063</v>
      </c>
      <c r="B62" t="s">
        <v>169</v>
      </c>
      <c r="C62" t="s">
        <v>55</v>
      </c>
      <c r="D62" t="s">
        <v>67</v>
      </c>
      <c r="E62" t="s">
        <v>68</v>
      </c>
      <c r="F62" t="s">
        <v>26</v>
      </c>
      <c r="G62">
        <v>699</v>
      </c>
      <c r="H62">
        <v>5</v>
      </c>
      <c r="I62">
        <v>3495</v>
      </c>
      <c r="J62" t="s">
        <v>45</v>
      </c>
      <c r="K62" t="s">
        <v>170</v>
      </c>
      <c r="L62" t="s">
        <v>169</v>
      </c>
      <c r="M62" t="s">
        <v>379</v>
      </c>
      <c r="N62" t="s">
        <v>291</v>
      </c>
      <c r="O62" t="s">
        <v>235</v>
      </c>
      <c r="P62" t="s">
        <v>235</v>
      </c>
      <c r="Q62" t="b">
        <v>1</v>
      </c>
      <c r="R62" t="s">
        <v>346</v>
      </c>
      <c r="S62" t="s">
        <v>326</v>
      </c>
      <c r="T62" t="s">
        <v>328</v>
      </c>
    </row>
    <row r="63" spans="1:20" x14ac:dyDescent="0.2">
      <c r="A63">
        <v>2064</v>
      </c>
      <c r="B63" t="s">
        <v>171</v>
      </c>
      <c r="C63" t="s">
        <v>55</v>
      </c>
      <c r="D63" t="s">
        <v>35</v>
      </c>
      <c r="E63" t="s">
        <v>20</v>
      </c>
      <c r="F63" t="s">
        <v>39</v>
      </c>
      <c r="G63">
        <v>499</v>
      </c>
      <c r="H63">
        <v>5</v>
      </c>
      <c r="I63">
        <v>2495</v>
      </c>
      <c r="J63" t="s">
        <v>49</v>
      </c>
      <c r="K63" t="s">
        <v>172</v>
      </c>
      <c r="L63" t="s">
        <v>171</v>
      </c>
      <c r="M63" t="s">
        <v>380</v>
      </c>
      <c r="N63" t="s">
        <v>292</v>
      </c>
      <c r="O63" t="s">
        <v>236</v>
      </c>
      <c r="P63" t="s">
        <v>236</v>
      </c>
      <c r="Q63" t="b">
        <v>1</v>
      </c>
      <c r="R63" t="s">
        <v>337</v>
      </c>
      <c r="S63" t="s">
        <v>327</v>
      </c>
      <c r="T63" t="s">
        <v>321</v>
      </c>
    </row>
    <row r="64" spans="1:20" x14ac:dyDescent="0.2">
      <c r="A64">
        <v>2065</v>
      </c>
      <c r="B64" t="s">
        <v>42</v>
      </c>
      <c r="C64" t="s">
        <v>25</v>
      </c>
      <c r="D64" t="s">
        <v>44</v>
      </c>
      <c r="E64" t="s">
        <v>31</v>
      </c>
      <c r="F64" t="s">
        <v>26</v>
      </c>
      <c r="G64">
        <v>699</v>
      </c>
      <c r="H64">
        <v>5</v>
      </c>
      <c r="I64">
        <v>3495</v>
      </c>
      <c r="J64" t="s">
        <v>52</v>
      </c>
      <c r="K64" t="s">
        <v>173</v>
      </c>
      <c r="L64" t="s">
        <v>42</v>
      </c>
      <c r="M64" t="s">
        <v>339</v>
      </c>
      <c r="N64" t="s">
        <v>250</v>
      </c>
      <c r="O64" t="s">
        <v>235</v>
      </c>
      <c r="P64" t="s">
        <v>235</v>
      </c>
      <c r="Q64" t="b">
        <v>1</v>
      </c>
      <c r="R64" t="s">
        <v>340</v>
      </c>
      <c r="S64" t="s">
        <v>313</v>
      </c>
      <c r="T64" t="s">
        <v>310</v>
      </c>
    </row>
    <row r="65" spans="1:20" x14ac:dyDescent="0.2">
      <c r="A65">
        <v>2066</v>
      </c>
      <c r="B65" t="s">
        <v>174</v>
      </c>
      <c r="C65" t="s">
        <v>12</v>
      </c>
      <c r="D65" t="s">
        <v>77</v>
      </c>
      <c r="E65" t="s">
        <v>78</v>
      </c>
      <c r="F65" t="s">
        <v>48</v>
      </c>
      <c r="G65">
        <v>299</v>
      </c>
      <c r="H65">
        <v>5</v>
      </c>
      <c r="I65">
        <v>1495</v>
      </c>
      <c r="J65" t="s">
        <v>56</v>
      </c>
      <c r="K65" t="s">
        <v>175</v>
      </c>
      <c r="L65" t="s">
        <v>174</v>
      </c>
      <c r="M65" t="s">
        <v>293</v>
      </c>
      <c r="N65" t="s">
        <v>293</v>
      </c>
      <c r="O65" t="s">
        <v>237</v>
      </c>
      <c r="P65" t="s">
        <v>237</v>
      </c>
      <c r="Q65" t="b">
        <v>1</v>
      </c>
      <c r="R65" t="s">
        <v>350</v>
      </c>
      <c r="S65" t="s">
        <v>326</v>
      </c>
      <c r="T65" t="s">
        <v>324</v>
      </c>
    </row>
    <row r="66" spans="1:20" x14ac:dyDescent="0.2">
      <c r="A66">
        <v>2067</v>
      </c>
      <c r="B66" t="s">
        <v>71</v>
      </c>
      <c r="C66" t="s">
        <v>25</v>
      </c>
      <c r="D66" t="s">
        <v>13</v>
      </c>
      <c r="E66" t="s">
        <v>14</v>
      </c>
      <c r="F66" t="s">
        <v>48</v>
      </c>
      <c r="G66">
        <v>299</v>
      </c>
      <c r="H66">
        <v>1</v>
      </c>
      <c r="I66">
        <v>299</v>
      </c>
      <c r="J66" t="s">
        <v>58</v>
      </c>
      <c r="K66" t="s">
        <v>176</v>
      </c>
      <c r="L66" t="s">
        <v>71</v>
      </c>
      <c r="M66" t="s">
        <v>347</v>
      </c>
      <c r="N66" t="s">
        <v>257</v>
      </c>
      <c r="O66" t="s">
        <v>237</v>
      </c>
      <c r="P66" t="s">
        <v>237</v>
      </c>
      <c r="Q66" t="b">
        <v>1</v>
      </c>
      <c r="R66" t="s">
        <v>330</v>
      </c>
      <c r="S66" t="s">
        <v>309</v>
      </c>
      <c r="T66" t="s">
        <v>316</v>
      </c>
    </row>
    <row r="67" spans="1:20" x14ac:dyDescent="0.2">
      <c r="A67">
        <v>2068</v>
      </c>
      <c r="B67" t="s">
        <v>177</v>
      </c>
      <c r="C67" t="s">
        <v>43</v>
      </c>
      <c r="D67" t="s">
        <v>30</v>
      </c>
      <c r="E67" t="s">
        <v>31</v>
      </c>
      <c r="F67" t="s">
        <v>15</v>
      </c>
      <c r="G67">
        <v>89</v>
      </c>
      <c r="H67">
        <v>2</v>
      </c>
      <c r="I67">
        <v>178</v>
      </c>
      <c r="J67" t="s">
        <v>61</v>
      </c>
      <c r="K67" t="s">
        <v>178</v>
      </c>
      <c r="L67" t="s">
        <v>177</v>
      </c>
      <c r="M67" t="s">
        <v>381</v>
      </c>
      <c r="N67" t="s">
        <v>294</v>
      </c>
      <c r="O67" t="s">
        <v>238</v>
      </c>
      <c r="P67" t="s">
        <v>238</v>
      </c>
      <c r="Q67" t="b">
        <v>1</v>
      </c>
      <c r="R67" t="s">
        <v>335</v>
      </c>
      <c r="S67" t="s">
        <v>309</v>
      </c>
      <c r="T67" t="s">
        <v>315</v>
      </c>
    </row>
    <row r="68" spans="1:20" x14ac:dyDescent="0.2">
      <c r="A68">
        <v>2069</v>
      </c>
      <c r="B68" t="s">
        <v>179</v>
      </c>
      <c r="C68" t="s">
        <v>25</v>
      </c>
      <c r="D68" t="s">
        <v>67</v>
      </c>
      <c r="E68" t="s">
        <v>68</v>
      </c>
      <c r="F68" t="s">
        <v>26</v>
      </c>
      <c r="G68">
        <v>699</v>
      </c>
      <c r="H68">
        <v>1</v>
      </c>
      <c r="I68">
        <v>699</v>
      </c>
      <c r="J68" t="s">
        <v>64</v>
      </c>
      <c r="K68" t="s">
        <v>180</v>
      </c>
      <c r="L68" t="s">
        <v>179</v>
      </c>
      <c r="M68" t="s">
        <v>382</v>
      </c>
      <c r="N68" t="s">
        <v>295</v>
      </c>
      <c r="O68" t="s">
        <v>235</v>
      </c>
      <c r="P68" t="s">
        <v>235</v>
      </c>
      <c r="Q68" t="b">
        <v>1</v>
      </c>
      <c r="R68" t="s">
        <v>346</v>
      </c>
      <c r="S68" t="s">
        <v>322</v>
      </c>
      <c r="T68" t="s">
        <v>320</v>
      </c>
    </row>
    <row r="69" spans="1:20" x14ac:dyDescent="0.2">
      <c r="A69">
        <v>2070</v>
      </c>
      <c r="B69" t="s">
        <v>181</v>
      </c>
      <c r="C69" t="s">
        <v>43</v>
      </c>
      <c r="D69" t="s">
        <v>72</v>
      </c>
      <c r="E69" t="s">
        <v>73</v>
      </c>
      <c r="F69" t="s">
        <v>15</v>
      </c>
      <c r="G69">
        <v>89</v>
      </c>
      <c r="H69">
        <v>4</v>
      </c>
      <c r="I69">
        <v>356</v>
      </c>
      <c r="J69" t="s">
        <v>69</v>
      </c>
      <c r="K69" t="s">
        <v>182</v>
      </c>
      <c r="L69" t="s">
        <v>181</v>
      </c>
      <c r="M69" t="s">
        <v>383</v>
      </c>
      <c r="N69" t="s">
        <v>296</v>
      </c>
      <c r="O69" t="s">
        <v>238</v>
      </c>
      <c r="P69" t="s">
        <v>238</v>
      </c>
      <c r="Q69" t="b">
        <v>1</v>
      </c>
      <c r="R69" t="s">
        <v>348</v>
      </c>
      <c r="S69" t="s">
        <v>323</v>
      </c>
      <c r="T69" t="s">
        <v>328</v>
      </c>
    </row>
    <row r="70" spans="1:20" x14ac:dyDescent="0.2">
      <c r="A70">
        <v>2071</v>
      </c>
      <c r="B70" t="s">
        <v>171</v>
      </c>
      <c r="C70" t="s">
        <v>25</v>
      </c>
      <c r="D70" t="s">
        <v>72</v>
      </c>
      <c r="E70" t="s">
        <v>73</v>
      </c>
      <c r="F70" t="s">
        <v>26</v>
      </c>
      <c r="G70">
        <v>699</v>
      </c>
      <c r="H70">
        <v>3</v>
      </c>
      <c r="I70">
        <v>2097</v>
      </c>
      <c r="J70" t="s">
        <v>74</v>
      </c>
      <c r="K70" t="s">
        <v>183</v>
      </c>
      <c r="L70" t="s">
        <v>171</v>
      </c>
      <c r="M70" t="s">
        <v>380</v>
      </c>
      <c r="N70" t="s">
        <v>292</v>
      </c>
      <c r="O70" t="s">
        <v>235</v>
      </c>
      <c r="P70" t="s">
        <v>235</v>
      </c>
      <c r="Q70" t="b">
        <v>1</v>
      </c>
      <c r="R70" t="s">
        <v>348</v>
      </c>
      <c r="S70" t="s">
        <v>327</v>
      </c>
      <c r="T70" t="s">
        <v>321</v>
      </c>
    </row>
    <row r="71" spans="1:20" x14ac:dyDescent="0.2">
      <c r="A71">
        <v>2072</v>
      </c>
      <c r="B71" t="s">
        <v>184</v>
      </c>
      <c r="C71" t="s">
        <v>12</v>
      </c>
      <c r="D71" t="s">
        <v>44</v>
      </c>
      <c r="E71" t="s">
        <v>31</v>
      </c>
      <c r="F71" t="s">
        <v>26</v>
      </c>
      <c r="G71">
        <v>699</v>
      </c>
      <c r="H71">
        <v>2</v>
      </c>
      <c r="I71">
        <v>1398</v>
      </c>
      <c r="J71" t="s">
        <v>79</v>
      </c>
      <c r="K71" t="s">
        <v>185</v>
      </c>
      <c r="L71" t="s">
        <v>184</v>
      </c>
      <c r="M71" t="s">
        <v>384</v>
      </c>
      <c r="N71" t="s">
        <v>297</v>
      </c>
      <c r="O71" t="s">
        <v>235</v>
      </c>
      <c r="P71" t="s">
        <v>235</v>
      </c>
      <c r="Q71" t="b">
        <v>1</v>
      </c>
      <c r="R71" t="s">
        <v>340</v>
      </c>
      <c r="S71" t="s">
        <v>327</v>
      </c>
      <c r="T71" t="s">
        <v>318</v>
      </c>
    </row>
    <row r="72" spans="1:20" x14ac:dyDescent="0.2">
      <c r="A72">
        <v>2073</v>
      </c>
      <c r="B72" t="s">
        <v>186</v>
      </c>
      <c r="C72" t="s">
        <v>12</v>
      </c>
      <c r="D72" t="s">
        <v>19</v>
      </c>
      <c r="E72" t="s">
        <v>20</v>
      </c>
      <c r="F72" t="s">
        <v>48</v>
      </c>
      <c r="G72">
        <v>299</v>
      </c>
      <c r="H72">
        <v>5</v>
      </c>
      <c r="I72">
        <v>1495</v>
      </c>
      <c r="J72" t="s">
        <v>82</v>
      </c>
      <c r="K72" t="s">
        <v>187</v>
      </c>
      <c r="L72" t="s">
        <v>186</v>
      </c>
      <c r="M72" t="s">
        <v>385</v>
      </c>
      <c r="N72" t="s">
        <v>298</v>
      </c>
      <c r="O72" t="s">
        <v>237</v>
      </c>
      <c r="P72" t="s">
        <v>237</v>
      </c>
      <c r="Q72" t="b">
        <v>1</v>
      </c>
      <c r="R72" t="s">
        <v>332</v>
      </c>
      <c r="S72" t="s">
        <v>327</v>
      </c>
      <c r="T72" t="s">
        <v>324</v>
      </c>
    </row>
    <row r="73" spans="1:20" x14ac:dyDescent="0.2">
      <c r="A73">
        <v>2074</v>
      </c>
      <c r="B73" t="s">
        <v>139</v>
      </c>
      <c r="C73" t="s">
        <v>25</v>
      </c>
      <c r="D73" t="s">
        <v>35</v>
      </c>
      <c r="E73" t="s">
        <v>20</v>
      </c>
      <c r="F73" t="s">
        <v>21</v>
      </c>
      <c r="G73">
        <v>899</v>
      </c>
      <c r="H73">
        <v>2</v>
      </c>
      <c r="I73">
        <v>1798</v>
      </c>
      <c r="J73" t="s">
        <v>85</v>
      </c>
      <c r="K73" t="s">
        <v>188</v>
      </c>
      <c r="L73" t="s">
        <v>139</v>
      </c>
      <c r="M73" t="s">
        <v>368</v>
      </c>
      <c r="N73" t="s">
        <v>279</v>
      </c>
      <c r="O73" t="s">
        <v>234</v>
      </c>
      <c r="P73" t="s">
        <v>234</v>
      </c>
      <c r="Q73" t="b">
        <v>1</v>
      </c>
      <c r="R73" t="s">
        <v>337</v>
      </c>
      <c r="S73" t="s">
        <v>319</v>
      </c>
      <c r="T73" t="s">
        <v>314</v>
      </c>
    </row>
    <row r="74" spans="1:20" x14ac:dyDescent="0.2">
      <c r="A74">
        <v>2075</v>
      </c>
      <c r="B74" t="s">
        <v>189</v>
      </c>
      <c r="C74" t="s">
        <v>25</v>
      </c>
      <c r="D74" t="s">
        <v>72</v>
      </c>
      <c r="E74" t="s">
        <v>73</v>
      </c>
      <c r="F74" t="s">
        <v>21</v>
      </c>
      <c r="G74">
        <v>899</v>
      </c>
      <c r="H74">
        <v>5</v>
      </c>
      <c r="I74">
        <v>4495</v>
      </c>
      <c r="J74" t="s">
        <v>88</v>
      </c>
      <c r="K74" t="s">
        <v>190</v>
      </c>
      <c r="L74" t="s">
        <v>189</v>
      </c>
      <c r="M74" t="s">
        <v>386</v>
      </c>
      <c r="N74" t="s">
        <v>299</v>
      </c>
      <c r="O74" t="s">
        <v>234</v>
      </c>
      <c r="P74" t="s">
        <v>234</v>
      </c>
      <c r="Q74" t="b">
        <v>1</v>
      </c>
      <c r="R74" t="s">
        <v>348</v>
      </c>
      <c r="S74" t="s">
        <v>319</v>
      </c>
      <c r="T74" t="s">
        <v>310</v>
      </c>
    </row>
    <row r="75" spans="1:20" x14ac:dyDescent="0.2">
      <c r="A75">
        <v>2076</v>
      </c>
      <c r="B75" t="s">
        <v>191</v>
      </c>
      <c r="C75" t="s">
        <v>55</v>
      </c>
      <c r="D75" t="s">
        <v>35</v>
      </c>
      <c r="E75" t="s">
        <v>20</v>
      </c>
      <c r="F75" t="s">
        <v>39</v>
      </c>
      <c r="G75">
        <v>499</v>
      </c>
      <c r="H75">
        <v>3</v>
      </c>
      <c r="I75">
        <v>1497</v>
      </c>
      <c r="J75" t="s">
        <v>91</v>
      </c>
      <c r="K75" t="s">
        <v>192</v>
      </c>
      <c r="L75" t="s">
        <v>191</v>
      </c>
      <c r="M75" t="s">
        <v>191</v>
      </c>
      <c r="N75" t="s">
        <v>300</v>
      </c>
      <c r="O75" t="s">
        <v>236</v>
      </c>
      <c r="P75" t="s">
        <v>236</v>
      </c>
      <c r="Q75" t="b">
        <v>1</v>
      </c>
      <c r="R75" t="s">
        <v>337</v>
      </c>
      <c r="S75" t="s">
        <v>323</v>
      </c>
      <c r="T75" t="s">
        <v>310</v>
      </c>
    </row>
    <row r="76" spans="1:20" x14ac:dyDescent="0.2">
      <c r="A76">
        <v>2077</v>
      </c>
      <c r="B76" t="s">
        <v>184</v>
      </c>
      <c r="C76" t="s">
        <v>12</v>
      </c>
      <c r="D76" t="s">
        <v>30</v>
      </c>
      <c r="E76" t="s">
        <v>31</v>
      </c>
      <c r="F76" t="s">
        <v>15</v>
      </c>
      <c r="G76">
        <v>89</v>
      </c>
      <c r="H76">
        <v>5</v>
      </c>
      <c r="I76">
        <v>445</v>
      </c>
      <c r="J76" t="s">
        <v>146</v>
      </c>
      <c r="K76" t="s">
        <v>193</v>
      </c>
      <c r="L76" t="s">
        <v>184</v>
      </c>
      <c r="M76" t="s">
        <v>384</v>
      </c>
      <c r="N76" t="s">
        <v>297</v>
      </c>
      <c r="O76" t="s">
        <v>238</v>
      </c>
      <c r="P76" t="s">
        <v>238</v>
      </c>
      <c r="Q76" t="b">
        <v>1</v>
      </c>
      <c r="R76" t="s">
        <v>335</v>
      </c>
      <c r="S76" t="s">
        <v>327</v>
      </c>
      <c r="T76" t="s">
        <v>318</v>
      </c>
    </row>
    <row r="77" spans="1:20" x14ac:dyDescent="0.2">
      <c r="A77">
        <v>2078</v>
      </c>
      <c r="B77" t="s">
        <v>139</v>
      </c>
      <c r="C77" t="s">
        <v>43</v>
      </c>
      <c r="D77" t="s">
        <v>30</v>
      </c>
      <c r="E77" t="s">
        <v>31</v>
      </c>
      <c r="F77" t="s">
        <v>48</v>
      </c>
      <c r="G77">
        <v>299</v>
      </c>
      <c r="H77">
        <v>5</v>
      </c>
      <c r="I77">
        <v>1495</v>
      </c>
      <c r="J77" t="s">
        <v>94</v>
      </c>
      <c r="K77" t="s">
        <v>194</v>
      </c>
      <c r="L77" t="s">
        <v>139</v>
      </c>
      <c r="M77" t="s">
        <v>368</v>
      </c>
      <c r="N77" t="s">
        <v>279</v>
      </c>
      <c r="O77" t="s">
        <v>237</v>
      </c>
      <c r="P77" t="s">
        <v>237</v>
      </c>
      <c r="Q77" t="b">
        <v>1</v>
      </c>
      <c r="R77" t="s">
        <v>335</v>
      </c>
      <c r="S77" t="s">
        <v>319</v>
      </c>
      <c r="T77" t="s">
        <v>314</v>
      </c>
    </row>
    <row r="78" spans="1:20" x14ac:dyDescent="0.2">
      <c r="A78">
        <v>2079</v>
      </c>
      <c r="B78" t="s">
        <v>195</v>
      </c>
      <c r="C78" t="s">
        <v>25</v>
      </c>
      <c r="D78" t="s">
        <v>19</v>
      </c>
      <c r="E78" t="s">
        <v>20</v>
      </c>
      <c r="F78" t="s">
        <v>48</v>
      </c>
      <c r="G78">
        <v>299</v>
      </c>
      <c r="H78">
        <v>2</v>
      </c>
      <c r="I78">
        <v>598</v>
      </c>
      <c r="J78" t="s">
        <v>96</v>
      </c>
      <c r="K78" t="s">
        <v>196</v>
      </c>
      <c r="L78" t="s">
        <v>195</v>
      </c>
      <c r="M78" t="s">
        <v>195</v>
      </c>
      <c r="N78" t="s">
        <v>301</v>
      </c>
      <c r="O78" t="s">
        <v>237</v>
      </c>
      <c r="P78" t="s">
        <v>237</v>
      </c>
      <c r="Q78" t="b">
        <v>1</v>
      </c>
      <c r="R78" t="s">
        <v>332</v>
      </c>
      <c r="S78" t="s">
        <v>322</v>
      </c>
      <c r="T78" t="s">
        <v>312</v>
      </c>
    </row>
    <row r="79" spans="1:20" x14ac:dyDescent="0.2">
      <c r="A79">
        <v>2080</v>
      </c>
      <c r="B79" t="s">
        <v>197</v>
      </c>
      <c r="C79" t="s">
        <v>43</v>
      </c>
      <c r="D79" t="s">
        <v>13</v>
      </c>
      <c r="E79" t="s">
        <v>14</v>
      </c>
      <c r="F79" t="s">
        <v>21</v>
      </c>
      <c r="G79">
        <v>899</v>
      </c>
      <c r="H79">
        <v>4</v>
      </c>
      <c r="I79">
        <v>3596</v>
      </c>
      <c r="J79" t="s">
        <v>98</v>
      </c>
      <c r="K79" t="s">
        <v>198</v>
      </c>
      <c r="L79" t="s">
        <v>197</v>
      </c>
      <c r="M79" t="s">
        <v>387</v>
      </c>
      <c r="N79" t="s">
        <v>302</v>
      </c>
      <c r="O79" t="s">
        <v>234</v>
      </c>
      <c r="P79" t="s">
        <v>234</v>
      </c>
      <c r="Q79" t="b">
        <v>1</v>
      </c>
      <c r="R79" t="s">
        <v>330</v>
      </c>
      <c r="S79" t="s">
        <v>325</v>
      </c>
      <c r="T79" t="s">
        <v>315</v>
      </c>
    </row>
    <row r="80" spans="1:20" x14ac:dyDescent="0.2">
      <c r="A80">
        <v>2081</v>
      </c>
      <c r="B80" t="s">
        <v>100</v>
      </c>
      <c r="C80" t="s">
        <v>12</v>
      </c>
      <c r="D80" t="s">
        <v>19</v>
      </c>
      <c r="E80" t="s">
        <v>20</v>
      </c>
      <c r="F80" t="s">
        <v>39</v>
      </c>
      <c r="G80">
        <v>499</v>
      </c>
      <c r="H80">
        <v>1</v>
      </c>
      <c r="I80">
        <v>499</v>
      </c>
      <c r="J80" t="s">
        <v>101</v>
      </c>
      <c r="K80" t="s">
        <v>199</v>
      </c>
      <c r="L80" t="s">
        <v>100</v>
      </c>
      <c r="M80" t="s">
        <v>356</v>
      </c>
      <c r="N80" t="s">
        <v>264</v>
      </c>
      <c r="O80" t="s">
        <v>236</v>
      </c>
      <c r="P80" t="s">
        <v>236</v>
      </c>
      <c r="Q80" t="b">
        <v>1</v>
      </c>
      <c r="R80" t="s">
        <v>332</v>
      </c>
      <c r="S80" t="s">
        <v>323</v>
      </c>
      <c r="T80" t="s">
        <v>321</v>
      </c>
    </row>
    <row r="81" spans="1:20" x14ac:dyDescent="0.2">
      <c r="A81">
        <v>2082</v>
      </c>
      <c r="B81" t="s">
        <v>66</v>
      </c>
      <c r="C81" t="s">
        <v>25</v>
      </c>
      <c r="D81" t="s">
        <v>19</v>
      </c>
      <c r="E81" t="s">
        <v>20</v>
      </c>
      <c r="F81" t="s">
        <v>15</v>
      </c>
      <c r="G81">
        <v>89</v>
      </c>
      <c r="H81">
        <v>2</v>
      </c>
      <c r="I81">
        <v>178</v>
      </c>
      <c r="J81" t="s">
        <v>103</v>
      </c>
      <c r="K81" t="s">
        <v>200</v>
      </c>
      <c r="L81" t="s">
        <v>66</v>
      </c>
      <c r="M81" t="s">
        <v>66</v>
      </c>
      <c r="N81" t="s">
        <v>256</v>
      </c>
      <c r="O81" t="s">
        <v>238</v>
      </c>
      <c r="P81" t="s">
        <v>238</v>
      </c>
      <c r="Q81" t="b">
        <v>1</v>
      </c>
      <c r="R81" t="s">
        <v>332</v>
      </c>
      <c r="S81" t="s">
        <v>322</v>
      </c>
      <c r="T81" t="s">
        <v>315</v>
      </c>
    </row>
    <row r="82" spans="1:20" x14ac:dyDescent="0.2">
      <c r="A82">
        <v>2083</v>
      </c>
      <c r="B82" t="s">
        <v>84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3</v>
      </c>
      <c r="I82">
        <v>1497</v>
      </c>
      <c r="J82" t="s">
        <v>106</v>
      </c>
      <c r="K82" t="s">
        <v>201</v>
      </c>
      <c r="L82" t="s">
        <v>84</v>
      </c>
      <c r="M82" t="s">
        <v>352</v>
      </c>
      <c r="N82" t="s">
        <v>260</v>
      </c>
      <c r="O82" t="s">
        <v>236</v>
      </c>
      <c r="P82" t="s">
        <v>236</v>
      </c>
      <c r="Q82" t="b">
        <v>1</v>
      </c>
      <c r="R82" t="s">
        <v>332</v>
      </c>
      <c r="S82" t="s">
        <v>313</v>
      </c>
      <c r="T82" t="s">
        <v>321</v>
      </c>
    </row>
    <row r="83" spans="1:20" x14ac:dyDescent="0.2">
      <c r="A83">
        <v>2084</v>
      </c>
      <c r="B83" t="s">
        <v>132</v>
      </c>
      <c r="C83" t="s">
        <v>55</v>
      </c>
      <c r="D83" t="s">
        <v>30</v>
      </c>
      <c r="E83" t="s">
        <v>31</v>
      </c>
      <c r="F83" t="s">
        <v>39</v>
      </c>
      <c r="G83">
        <v>499</v>
      </c>
      <c r="H83">
        <v>4</v>
      </c>
      <c r="I83">
        <v>1996</v>
      </c>
      <c r="J83" t="s">
        <v>109</v>
      </c>
      <c r="K83" t="s">
        <v>202</v>
      </c>
      <c r="L83" t="s">
        <v>132</v>
      </c>
      <c r="M83" t="s">
        <v>132</v>
      </c>
      <c r="N83" t="s">
        <v>276</v>
      </c>
      <c r="O83" t="s">
        <v>236</v>
      </c>
      <c r="P83" t="s">
        <v>236</v>
      </c>
      <c r="Q83" t="b">
        <v>1</v>
      </c>
      <c r="R83" t="s">
        <v>335</v>
      </c>
      <c r="S83" t="s">
        <v>323</v>
      </c>
      <c r="T83" t="s">
        <v>312</v>
      </c>
    </row>
    <row r="84" spans="1:20" x14ac:dyDescent="0.2">
      <c r="A84">
        <v>2085</v>
      </c>
      <c r="B84" t="s">
        <v>181</v>
      </c>
      <c r="C84" t="s">
        <v>43</v>
      </c>
      <c r="D84" t="s">
        <v>44</v>
      </c>
      <c r="E84" t="s">
        <v>31</v>
      </c>
      <c r="F84" t="s">
        <v>39</v>
      </c>
      <c r="G84">
        <v>499</v>
      </c>
      <c r="H84">
        <v>3</v>
      </c>
      <c r="I84">
        <v>1497</v>
      </c>
      <c r="J84" t="s">
        <v>16</v>
      </c>
      <c r="K84" t="s">
        <v>203</v>
      </c>
      <c r="L84" t="s">
        <v>181</v>
      </c>
      <c r="M84" t="s">
        <v>383</v>
      </c>
      <c r="N84" t="s">
        <v>296</v>
      </c>
      <c r="O84" t="s">
        <v>236</v>
      </c>
      <c r="P84" t="s">
        <v>236</v>
      </c>
      <c r="Q84" t="b">
        <v>1</v>
      </c>
      <c r="R84" t="s">
        <v>340</v>
      </c>
      <c r="S84" t="s">
        <v>323</v>
      </c>
      <c r="T84" t="s">
        <v>328</v>
      </c>
    </row>
    <row r="85" spans="1:20" x14ac:dyDescent="0.2">
      <c r="A85">
        <v>2086</v>
      </c>
      <c r="B85" t="s">
        <v>60</v>
      </c>
      <c r="C85" t="s">
        <v>12</v>
      </c>
      <c r="D85" t="s">
        <v>67</v>
      </c>
      <c r="E85" t="s">
        <v>68</v>
      </c>
      <c r="F85" t="s">
        <v>21</v>
      </c>
      <c r="G85">
        <v>899</v>
      </c>
      <c r="H85">
        <v>1</v>
      </c>
      <c r="I85">
        <v>899</v>
      </c>
      <c r="J85" t="s">
        <v>22</v>
      </c>
      <c r="K85" t="s">
        <v>204</v>
      </c>
      <c r="L85" t="s">
        <v>60</v>
      </c>
      <c r="M85" t="s">
        <v>344</v>
      </c>
      <c r="N85" t="s">
        <v>254</v>
      </c>
      <c r="O85" t="s">
        <v>234</v>
      </c>
      <c r="P85" t="s">
        <v>234</v>
      </c>
      <c r="Q85" t="b">
        <v>1</v>
      </c>
      <c r="R85" t="s">
        <v>346</v>
      </c>
      <c r="S85" t="s">
        <v>319</v>
      </c>
      <c r="T85" t="s">
        <v>321</v>
      </c>
    </row>
    <row r="86" spans="1:20" x14ac:dyDescent="0.2">
      <c r="A86">
        <v>2087</v>
      </c>
      <c r="B86" t="s">
        <v>195</v>
      </c>
      <c r="C86" t="s">
        <v>25</v>
      </c>
      <c r="D86" t="s">
        <v>77</v>
      </c>
      <c r="E86" t="s">
        <v>78</v>
      </c>
      <c r="F86" t="s">
        <v>21</v>
      </c>
      <c r="G86">
        <v>899</v>
      </c>
      <c r="H86">
        <v>4</v>
      </c>
      <c r="I86">
        <v>3596</v>
      </c>
      <c r="J86" t="s">
        <v>27</v>
      </c>
      <c r="K86" t="s">
        <v>205</v>
      </c>
      <c r="L86" t="s">
        <v>195</v>
      </c>
      <c r="M86" t="s">
        <v>195</v>
      </c>
      <c r="N86" t="s">
        <v>301</v>
      </c>
      <c r="O86" t="s">
        <v>234</v>
      </c>
      <c r="P86" t="s">
        <v>234</v>
      </c>
      <c r="Q86" t="b">
        <v>1</v>
      </c>
      <c r="R86" t="s">
        <v>350</v>
      </c>
      <c r="S86" t="s">
        <v>322</v>
      </c>
      <c r="T86" t="s">
        <v>312</v>
      </c>
    </row>
    <row r="87" spans="1:20" x14ac:dyDescent="0.2">
      <c r="A87">
        <v>2088</v>
      </c>
      <c r="B87" t="s">
        <v>100</v>
      </c>
      <c r="C87" t="s">
        <v>25</v>
      </c>
      <c r="D87" t="s">
        <v>35</v>
      </c>
      <c r="E87" t="s">
        <v>20</v>
      </c>
      <c r="F87" t="s">
        <v>21</v>
      </c>
      <c r="G87">
        <v>899</v>
      </c>
      <c r="H87">
        <v>5</v>
      </c>
      <c r="I87">
        <v>4495</v>
      </c>
      <c r="J87" t="s">
        <v>32</v>
      </c>
      <c r="K87" t="s">
        <v>206</v>
      </c>
      <c r="L87" t="s">
        <v>100</v>
      </c>
      <c r="M87" t="s">
        <v>356</v>
      </c>
      <c r="N87" t="s">
        <v>264</v>
      </c>
      <c r="O87" t="s">
        <v>234</v>
      </c>
      <c r="P87" t="s">
        <v>234</v>
      </c>
      <c r="Q87" t="b">
        <v>1</v>
      </c>
      <c r="R87" t="s">
        <v>337</v>
      </c>
      <c r="S87" t="s">
        <v>323</v>
      </c>
      <c r="T87" t="s">
        <v>321</v>
      </c>
    </row>
    <row r="88" spans="1:20" x14ac:dyDescent="0.2">
      <c r="A88">
        <v>2089</v>
      </c>
      <c r="B88" t="s">
        <v>207</v>
      </c>
      <c r="C88" t="s">
        <v>43</v>
      </c>
      <c r="D88" t="s">
        <v>44</v>
      </c>
      <c r="E88" t="s">
        <v>31</v>
      </c>
      <c r="F88" t="s">
        <v>39</v>
      </c>
      <c r="G88">
        <v>499</v>
      </c>
      <c r="H88">
        <v>1</v>
      </c>
      <c r="I88">
        <v>499</v>
      </c>
      <c r="J88" t="s">
        <v>36</v>
      </c>
      <c r="K88" t="s">
        <v>208</v>
      </c>
      <c r="L88" t="s">
        <v>207</v>
      </c>
      <c r="M88" t="s">
        <v>388</v>
      </c>
      <c r="N88" t="s">
        <v>303</v>
      </c>
      <c r="O88" t="s">
        <v>236</v>
      </c>
      <c r="P88" t="s">
        <v>236</v>
      </c>
      <c r="Q88" t="b">
        <v>1</v>
      </c>
      <c r="R88" t="s">
        <v>340</v>
      </c>
      <c r="S88" t="s">
        <v>317</v>
      </c>
      <c r="T88" t="s">
        <v>328</v>
      </c>
    </row>
    <row r="89" spans="1:20" x14ac:dyDescent="0.2">
      <c r="A89">
        <v>2090</v>
      </c>
      <c r="B89" t="s">
        <v>209</v>
      </c>
      <c r="C89" t="s">
        <v>43</v>
      </c>
      <c r="D89" t="s">
        <v>13</v>
      </c>
      <c r="E89" t="s">
        <v>14</v>
      </c>
      <c r="F89" t="s">
        <v>26</v>
      </c>
      <c r="G89">
        <v>699</v>
      </c>
      <c r="H89">
        <v>4</v>
      </c>
      <c r="I89">
        <v>2796</v>
      </c>
      <c r="J89" t="s">
        <v>40</v>
      </c>
      <c r="K89" t="s">
        <v>210</v>
      </c>
      <c r="L89" t="s">
        <v>209</v>
      </c>
      <c r="M89" t="s">
        <v>389</v>
      </c>
      <c r="N89" t="s">
        <v>304</v>
      </c>
      <c r="O89" t="s">
        <v>235</v>
      </c>
      <c r="P89" t="s">
        <v>235</v>
      </c>
      <c r="Q89" t="b">
        <v>1</v>
      </c>
      <c r="R89" t="s">
        <v>330</v>
      </c>
      <c r="S89" t="s">
        <v>327</v>
      </c>
      <c r="T89" t="s">
        <v>320</v>
      </c>
    </row>
    <row r="90" spans="1:20" x14ac:dyDescent="0.2">
      <c r="A90">
        <v>2091</v>
      </c>
      <c r="B90" t="s">
        <v>211</v>
      </c>
      <c r="C90" t="s">
        <v>25</v>
      </c>
      <c r="D90" t="s">
        <v>35</v>
      </c>
      <c r="E90" t="s">
        <v>20</v>
      </c>
      <c r="F90" t="s">
        <v>21</v>
      </c>
      <c r="G90">
        <v>899</v>
      </c>
      <c r="H90">
        <v>1</v>
      </c>
      <c r="I90">
        <v>899</v>
      </c>
      <c r="J90" t="s">
        <v>45</v>
      </c>
      <c r="K90" t="s">
        <v>212</v>
      </c>
      <c r="L90" t="s">
        <v>211</v>
      </c>
      <c r="M90" t="s">
        <v>390</v>
      </c>
      <c r="N90" t="s">
        <v>305</v>
      </c>
      <c r="O90" t="s">
        <v>234</v>
      </c>
      <c r="P90" t="s">
        <v>234</v>
      </c>
      <c r="Q90" t="b">
        <v>1</v>
      </c>
      <c r="R90" t="s">
        <v>337</v>
      </c>
      <c r="S90" t="s">
        <v>326</v>
      </c>
      <c r="T90" t="s">
        <v>318</v>
      </c>
    </row>
    <row r="91" spans="1:20" x14ac:dyDescent="0.2">
      <c r="A91">
        <v>2092</v>
      </c>
      <c r="B91" t="s">
        <v>213</v>
      </c>
      <c r="C91" t="s">
        <v>12</v>
      </c>
      <c r="D91" t="s">
        <v>67</v>
      </c>
      <c r="E91" t="s">
        <v>68</v>
      </c>
      <c r="F91" t="s">
        <v>21</v>
      </c>
      <c r="G91">
        <v>899</v>
      </c>
      <c r="H91">
        <v>5</v>
      </c>
      <c r="I91">
        <v>4495</v>
      </c>
      <c r="J91" t="s">
        <v>49</v>
      </c>
      <c r="K91" t="s">
        <v>214</v>
      </c>
      <c r="L91" t="s">
        <v>213</v>
      </c>
      <c r="M91" t="s">
        <v>213</v>
      </c>
      <c r="N91" t="s">
        <v>306</v>
      </c>
      <c r="O91" t="s">
        <v>234</v>
      </c>
      <c r="P91" t="s">
        <v>234</v>
      </c>
      <c r="Q91" t="b">
        <v>1</v>
      </c>
      <c r="R91" t="s">
        <v>346</v>
      </c>
      <c r="S91" t="s">
        <v>323</v>
      </c>
      <c r="T91" t="s">
        <v>315</v>
      </c>
    </row>
    <row r="92" spans="1:20" x14ac:dyDescent="0.2">
      <c r="A92">
        <v>2093</v>
      </c>
      <c r="B92" t="s">
        <v>157</v>
      </c>
      <c r="C92" t="s">
        <v>12</v>
      </c>
      <c r="D92" t="s">
        <v>13</v>
      </c>
      <c r="E92" t="s">
        <v>14</v>
      </c>
      <c r="F92" t="s">
        <v>21</v>
      </c>
      <c r="G92">
        <v>899</v>
      </c>
      <c r="H92">
        <v>3</v>
      </c>
      <c r="I92">
        <v>2697</v>
      </c>
      <c r="J92" t="s">
        <v>52</v>
      </c>
      <c r="K92" t="s">
        <v>215</v>
      </c>
      <c r="L92" t="s">
        <v>157</v>
      </c>
      <c r="M92" t="s">
        <v>376</v>
      </c>
      <c r="N92" t="s">
        <v>287</v>
      </c>
      <c r="O92" t="s">
        <v>234</v>
      </c>
      <c r="P92" t="s">
        <v>234</v>
      </c>
      <c r="Q92" t="b">
        <v>1</v>
      </c>
      <c r="R92" t="s">
        <v>330</v>
      </c>
      <c r="S92" t="s">
        <v>309</v>
      </c>
      <c r="T92" t="s">
        <v>312</v>
      </c>
    </row>
    <row r="93" spans="1:20" x14ac:dyDescent="0.2">
      <c r="A93">
        <v>2094</v>
      </c>
      <c r="B93" t="s">
        <v>29</v>
      </c>
      <c r="C93" t="s">
        <v>25</v>
      </c>
      <c r="D93" t="s">
        <v>72</v>
      </c>
      <c r="E93" t="s">
        <v>73</v>
      </c>
      <c r="F93" t="s">
        <v>26</v>
      </c>
      <c r="G93">
        <v>699</v>
      </c>
      <c r="H93">
        <v>1</v>
      </c>
      <c r="I93">
        <v>699</v>
      </c>
      <c r="J93" t="s">
        <v>56</v>
      </c>
      <c r="K93" t="s">
        <v>216</v>
      </c>
      <c r="L93" t="s">
        <v>29</v>
      </c>
      <c r="M93" t="s">
        <v>334</v>
      </c>
      <c r="N93" t="s">
        <v>247</v>
      </c>
      <c r="O93" t="s">
        <v>235</v>
      </c>
      <c r="P93" t="s">
        <v>235</v>
      </c>
      <c r="Q93" t="b">
        <v>1</v>
      </c>
      <c r="R93" t="s">
        <v>348</v>
      </c>
      <c r="S93" t="s">
        <v>313</v>
      </c>
      <c r="T93" t="s">
        <v>315</v>
      </c>
    </row>
    <row r="94" spans="1:20" x14ac:dyDescent="0.2">
      <c r="A94">
        <v>2095</v>
      </c>
      <c r="B94" t="s">
        <v>71</v>
      </c>
      <c r="C94" t="s">
        <v>43</v>
      </c>
      <c r="D94" t="s">
        <v>67</v>
      </c>
      <c r="E94" t="s">
        <v>68</v>
      </c>
      <c r="F94" t="s">
        <v>15</v>
      </c>
      <c r="G94">
        <v>89</v>
      </c>
      <c r="H94">
        <v>1</v>
      </c>
      <c r="I94">
        <v>89</v>
      </c>
      <c r="J94" t="s">
        <v>58</v>
      </c>
      <c r="K94" t="s">
        <v>217</v>
      </c>
      <c r="L94" t="s">
        <v>71</v>
      </c>
      <c r="M94" t="s">
        <v>347</v>
      </c>
      <c r="N94" t="s">
        <v>257</v>
      </c>
      <c r="O94" t="s">
        <v>238</v>
      </c>
      <c r="P94" t="s">
        <v>238</v>
      </c>
      <c r="Q94" t="b">
        <v>1</v>
      </c>
      <c r="R94" t="s">
        <v>346</v>
      </c>
      <c r="S94" t="s">
        <v>309</v>
      </c>
      <c r="T94" t="s">
        <v>316</v>
      </c>
    </row>
    <row r="95" spans="1:20" x14ac:dyDescent="0.2">
      <c r="A95">
        <v>2096</v>
      </c>
      <c r="B95" t="s">
        <v>171</v>
      </c>
      <c r="C95" t="s">
        <v>43</v>
      </c>
      <c r="D95" t="s">
        <v>77</v>
      </c>
      <c r="E95" t="s">
        <v>78</v>
      </c>
      <c r="F95" t="s">
        <v>15</v>
      </c>
      <c r="G95">
        <v>89</v>
      </c>
      <c r="H95">
        <v>4</v>
      </c>
      <c r="I95">
        <v>356</v>
      </c>
      <c r="J95" t="s">
        <v>61</v>
      </c>
      <c r="K95" t="s">
        <v>218</v>
      </c>
      <c r="L95" t="s">
        <v>171</v>
      </c>
      <c r="M95" t="s">
        <v>380</v>
      </c>
      <c r="N95" t="s">
        <v>292</v>
      </c>
      <c r="O95" t="s">
        <v>238</v>
      </c>
      <c r="P95" t="s">
        <v>238</v>
      </c>
      <c r="Q95" t="b">
        <v>1</v>
      </c>
      <c r="R95" t="s">
        <v>350</v>
      </c>
      <c r="S95" t="s">
        <v>327</v>
      </c>
      <c r="T95" t="s">
        <v>321</v>
      </c>
    </row>
    <row r="96" spans="1:20" x14ac:dyDescent="0.2">
      <c r="A96">
        <v>2097</v>
      </c>
      <c r="B96" t="s">
        <v>219</v>
      </c>
      <c r="C96" t="s">
        <v>43</v>
      </c>
      <c r="D96" t="s">
        <v>72</v>
      </c>
      <c r="E96" t="s">
        <v>73</v>
      </c>
      <c r="F96" t="s">
        <v>48</v>
      </c>
      <c r="G96">
        <v>299</v>
      </c>
      <c r="H96">
        <v>3</v>
      </c>
      <c r="I96">
        <v>897</v>
      </c>
      <c r="J96" t="s">
        <v>64</v>
      </c>
      <c r="K96" t="s">
        <v>220</v>
      </c>
      <c r="L96" t="s">
        <v>219</v>
      </c>
      <c r="M96" t="s">
        <v>391</v>
      </c>
      <c r="N96" t="s">
        <v>307</v>
      </c>
      <c r="O96" t="s">
        <v>237</v>
      </c>
      <c r="P96" t="s">
        <v>237</v>
      </c>
      <c r="Q96" t="b">
        <v>1</v>
      </c>
      <c r="R96" t="s">
        <v>348</v>
      </c>
      <c r="S96" t="s">
        <v>317</v>
      </c>
      <c r="T96" t="s">
        <v>315</v>
      </c>
    </row>
    <row r="97" spans="1:20" x14ac:dyDescent="0.2">
      <c r="A97">
        <v>2098</v>
      </c>
      <c r="B97" t="s">
        <v>221</v>
      </c>
      <c r="C97" t="s">
        <v>25</v>
      </c>
      <c r="D97" t="s">
        <v>19</v>
      </c>
      <c r="E97" t="s">
        <v>20</v>
      </c>
      <c r="F97" t="s">
        <v>26</v>
      </c>
      <c r="G97">
        <v>699</v>
      </c>
      <c r="H97">
        <v>2</v>
      </c>
      <c r="I97">
        <v>1398</v>
      </c>
      <c r="J97" t="s">
        <v>69</v>
      </c>
      <c r="K97" t="s">
        <v>222</v>
      </c>
      <c r="L97" t="s">
        <v>221</v>
      </c>
      <c r="M97" t="s">
        <v>392</v>
      </c>
      <c r="N97" t="s">
        <v>308</v>
      </c>
      <c r="O97" t="s">
        <v>235</v>
      </c>
      <c r="P97" t="s">
        <v>235</v>
      </c>
      <c r="Q97" t="b">
        <v>1</v>
      </c>
      <c r="R97" t="s">
        <v>332</v>
      </c>
      <c r="S97" t="s">
        <v>325</v>
      </c>
      <c r="T97" t="s">
        <v>314</v>
      </c>
    </row>
    <row r="98" spans="1:20" x14ac:dyDescent="0.2">
      <c r="A98">
        <v>2099</v>
      </c>
      <c r="B98" t="s">
        <v>167</v>
      </c>
      <c r="C98" t="s">
        <v>25</v>
      </c>
      <c r="D98" t="s">
        <v>13</v>
      </c>
      <c r="E98" t="s">
        <v>14</v>
      </c>
      <c r="F98" t="s">
        <v>39</v>
      </c>
      <c r="G98">
        <v>499</v>
      </c>
      <c r="H98">
        <v>5</v>
      </c>
      <c r="I98">
        <v>2495</v>
      </c>
      <c r="J98" t="s">
        <v>74</v>
      </c>
      <c r="K98" t="s">
        <v>223</v>
      </c>
      <c r="L98" t="s">
        <v>167</v>
      </c>
      <c r="M98" t="s">
        <v>378</v>
      </c>
      <c r="N98" t="s">
        <v>290</v>
      </c>
      <c r="O98" t="s">
        <v>236</v>
      </c>
      <c r="P98" t="s">
        <v>236</v>
      </c>
      <c r="Q98" t="b">
        <v>1</v>
      </c>
      <c r="R98" t="s">
        <v>330</v>
      </c>
      <c r="S98" t="s">
        <v>311</v>
      </c>
      <c r="T98" t="s">
        <v>321</v>
      </c>
    </row>
    <row r="99" spans="1:20" x14ac:dyDescent="0.2">
      <c r="A99">
        <v>2100</v>
      </c>
      <c r="B99" t="s">
        <v>71</v>
      </c>
      <c r="C99" t="s">
        <v>12</v>
      </c>
      <c r="D99" t="s">
        <v>44</v>
      </c>
      <c r="E99" t="s">
        <v>31</v>
      </c>
      <c r="F99" t="s">
        <v>48</v>
      </c>
      <c r="G99">
        <v>299</v>
      </c>
      <c r="H99">
        <v>1</v>
      </c>
      <c r="I99">
        <v>299</v>
      </c>
      <c r="J99" t="s">
        <v>79</v>
      </c>
      <c r="K99" t="s">
        <v>224</v>
      </c>
      <c r="L99" t="s">
        <v>71</v>
      </c>
      <c r="M99" t="s">
        <v>347</v>
      </c>
      <c r="N99" t="s">
        <v>257</v>
      </c>
      <c r="O99" t="s">
        <v>237</v>
      </c>
      <c r="P99" t="s">
        <v>237</v>
      </c>
      <c r="Q99" t="b">
        <v>1</v>
      </c>
      <c r="R99" t="s">
        <v>340</v>
      </c>
      <c r="S99" t="s">
        <v>309</v>
      </c>
      <c r="T99" t="s">
        <v>316</v>
      </c>
    </row>
    <row r="101" spans="1:20" x14ac:dyDescent="0.2">
      <c r="I101">
        <f>COUNTIF(I2:I99,"&gt;1000")</f>
        <v>56</v>
      </c>
    </row>
    <row r="102" spans="1:20" x14ac:dyDescent="0.2">
      <c r="A102">
        <f ca="1">COUNTA(A2:A200)</f>
        <v>0</v>
      </c>
    </row>
    <row r="103" spans="1:20" x14ac:dyDescent="0.2">
      <c r="P103" s="2">
        <v>0</v>
      </c>
      <c r="Q103" s="2"/>
    </row>
    <row r="104" spans="1:20" x14ac:dyDescent="0.2">
      <c r="P104" s="2"/>
      <c r="Q104" s="2"/>
    </row>
  </sheetData>
  <mergeCells count="1">
    <mergeCell ref="P103:Q104"/>
  </mergeCells>
  <conditionalFormatting sqref="I3:I99">
    <cfRule type="cellIs" dxfId="0" priority="1" operator="greaterThan">
      <formula>1000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327D-E449-7B44-A03E-25E0B8DF5D80}">
  <dimension ref="A1:E38"/>
  <sheetViews>
    <sheetView workbookViewId="0">
      <selection activeCell="D5" sqref="D5"/>
    </sheetView>
  </sheetViews>
  <sheetFormatPr baseColWidth="10" defaultRowHeight="15" x14ac:dyDescent="0.2"/>
  <cols>
    <col min="4" max="4" width="29.6640625" customWidth="1"/>
  </cols>
  <sheetData>
    <row r="1" spans="1:5" ht="32" x14ac:dyDescent="0.2">
      <c r="A1" s="4" t="s">
        <v>239</v>
      </c>
      <c r="B1" s="4" t="s">
        <v>240</v>
      </c>
      <c r="C1" s="4" t="s">
        <v>395</v>
      </c>
      <c r="D1" s="4" t="s">
        <v>241</v>
      </c>
      <c r="E1" s="4" t="s">
        <v>242</v>
      </c>
    </row>
    <row r="2" spans="1:5" ht="96" x14ac:dyDescent="0.2">
      <c r="A2" s="5" t="s">
        <v>396</v>
      </c>
      <c r="B2" s="5" t="s">
        <v>397</v>
      </c>
      <c r="C2" s="5" t="s">
        <v>398</v>
      </c>
      <c r="D2" s="5" t="s">
        <v>399</v>
      </c>
      <c r="E2" s="5">
        <v>100</v>
      </c>
    </row>
    <row r="3" spans="1:5" ht="48" x14ac:dyDescent="0.2">
      <c r="A3" s="5" t="s">
        <v>243</v>
      </c>
      <c r="B3" s="5" t="s">
        <v>233</v>
      </c>
      <c r="C3" s="5" t="s">
        <v>400</v>
      </c>
      <c r="D3" s="5" t="s">
        <v>401</v>
      </c>
      <c r="E3" s="5">
        <v>0</v>
      </c>
    </row>
    <row r="4" spans="1:5" ht="32" x14ac:dyDescent="0.2">
      <c r="A4" s="5" t="s">
        <v>402</v>
      </c>
      <c r="B4" s="5" t="s">
        <v>225</v>
      </c>
      <c r="C4" s="5" t="s">
        <v>403</v>
      </c>
      <c r="D4" s="5" t="s">
        <v>404</v>
      </c>
      <c r="E4" s="5">
        <v>86</v>
      </c>
    </row>
    <row r="5" spans="1:5" ht="32" x14ac:dyDescent="0.2">
      <c r="A5" s="5" t="s">
        <v>405</v>
      </c>
      <c r="B5" s="5" t="s">
        <v>226</v>
      </c>
      <c r="C5" s="5" t="s">
        <v>406</v>
      </c>
      <c r="D5" s="5" t="s">
        <v>407</v>
      </c>
      <c r="E5" s="5">
        <v>99</v>
      </c>
    </row>
    <row r="6" spans="1:5" ht="32" x14ac:dyDescent="0.2">
      <c r="A6" s="5" t="s">
        <v>408</v>
      </c>
      <c r="B6" s="5" t="s">
        <v>397</v>
      </c>
      <c r="C6" s="5" t="s">
        <v>409</v>
      </c>
      <c r="D6" s="5" t="s">
        <v>410</v>
      </c>
      <c r="E6" s="5">
        <v>100</v>
      </c>
    </row>
    <row r="7" spans="1:5" ht="48" x14ac:dyDescent="0.2">
      <c r="A7" s="5" t="s">
        <v>393</v>
      </c>
      <c r="B7" s="5" t="s">
        <v>227</v>
      </c>
      <c r="C7" s="5" t="s">
        <v>411</v>
      </c>
      <c r="D7" s="5" t="s">
        <v>412</v>
      </c>
      <c r="E7" s="5">
        <v>100</v>
      </c>
    </row>
    <row r="8" spans="1:5" ht="48" x14ac:dyDescent="0.2">
      <c r="A8" s="5" t="s">
        <v>394</v>
      </c>
      <c r="B8" s="5" t="s">
        <v>228</v>
      </c>
      <c r="C8" s="5" t="s">
        <v>413</v>
      </c>
      <c r="D8" s="5" t="s">
        <v>414</v>
      </c>
      <c r="E8" s="5">
        <v>100</v>
      </c>
    </row>
    <row r="9" spans="1:5" ht="48" x14ac:dyDescent="0.2">
      <c r="A9" s="5" t="s">
        <v>415</v>
      </c>
      <c r="B9" s="5" t="s">
        <v>229</v>
      </c>
      <c r="C9" s="5" t="s">
        <v>413</v>
      </c>
      <c r="D9" s="5" t="s">
        <v>416</v>
      </c>
      <c r="E9" s="5">
        <v>100</v>
      </c>
    </row>
    <row r="10" spans="1:5" ht="48" x14ac:dyDescent="0.2">
      <c r="A10" s="5" t="s">
        <v>417</v>
      </c>
      <c r="B10" s="5" t="s">
        <v>230</v>
      </c>
      <c r="C10" s="5" t="s">
        <v>418</v>
      </c>
      <c r="D10" s="5" t="s">
        <v>419</v>
      </c>
      <c r="E10" s="5">
        <v>100</v>
      </c>
    </row>
    <row r="11" spans="1:5" ht="32" x14ac:dyDescent="0.2">
      <c r="A11" s="5" t="s">
        <v>420</v>
      </c>
      <c r="B11" s="5" t="s">
        <v>231</v>
      </c>
      <c r="C11" s="5" t="s">
        <v>421</v>
      </c>
      <c r="D11" s="5" t="s">
        <v>422</v>
      </c>
      <c r="E11" s="5">
        <v>100</v>
      </c>
    </row>
    <row r="12" spans="1:5" ht="32" x14ac:dyDescent="0.2">
      <c r="A12" s="5" t="s">
        <v>423</v>
      </c>
      <c r="B12" s="5" t="s">
        <v>232</v>
      </c>
      <c r="C12" s="5" t="s">
        <v>421</v>
      </c>
      <c r="D12" s="5" t="s">
        <v>424</v>
      </c>
      <c r="E12" s="5">
        <v>100</v>
      </c>
    </row>
    <row r="13" spans="1:5" ht="48" x14ac:dyDescent="0.2">
      <c r="A13" s="5" t="s">
        <v>396</v>
      </c>
      <c r="B13" s="5" t="s">
        <v>397</v>
      </c>
      <c r="C13" s="5" t="s">
        <v>425</v>
      </c>
      <c r="D13" s="5" t="s">
        <v>426</v>
      </c>
      <c r="E13" s="5" t="s">
        <v>427</v>
      </c>
    </row>
    <row r="14" spans="1:5" ht="32" x14ac:dyDescent="0.2">
      <c r="A14" s="5" t="s">
        <v>428</v>
      </c>
      <c r="B14" s="5" t="s">
        <v>397</v>
      </c>
      <c r="C14" s="5" t="s">
        <v>429</v>
      </c>
      <c r="D14" s="5" t="s">
        <v>430</v>
      </c>
      <c r="E14" s="5">
        <v>56</v>
      </c>
    </row>
    <row r="15" spans="1:5" ht="48" x14ac:dyDescent="0.2">
      <c r="A15" s="5" t="s">
        <v>431</v>
      </c>
      <c r="B15" s="5" t="s">
        <v>397</v>
      </c>
      <c r="C15" s="5" t="s">
        <v>432</v>
      </c>
      <c r="D15" s="5" t="s">
        <v>433</v>
      </c>
      <c r="E15" s="5">
        <v>98</v>
      </c>
    </row>
    <row r="16" spans="1:5" x14ac:dyDescent="0.2">
      <c r="A16" s="3"/>
      <c r="B16" s="3"/>
      <c r="C16" s="3"/>
      <c r="D16" s="3"/>
      <c r="E16" s="3"/>
    </row>
    <row r="17" spans="1:5" x14ac:dyDescent="0.2">
      <c r="A17" s="3"/>
      <c r="B17" s="3"/>
      <c r="C17" s="3"/>
      <c r="D17" s="3"/>
      <c r="E17" s="3"/>
    </row>
    <row r="18" spans="1:5" x14ac:dyDescent="0.2">
      <c r="A18" s="3"/>
      <c r="B18" s="3"/>
      <c r="C18" s="3"/>
      <c r="D18" s="3"/>
      <c r="E18" s="3"/>
    </row>
    <row r="19" spans="1:5" x14ac:dyDescent="0.2">
      <c r="A19" s="3"/>
      <c r="B19" s="3"/>
      <c r="C19" s="3"/>
      <c r="D19" s="3"/>
      <c r="E19" s="3"/>
    </row>
    <row r="20" spans="1:5" x14ac:dyDescent="0.2">
      <c r="A20" s="3"/>
      <c r="B20" s="3"/>
      <c r="C20" s="3"/>
      <c r="D20" s="3"/>
      <c r="E20" s="3"/>
    </row>
    <row r="21" spans="1:5" x14ac:dyDescent="0.2">
      <c r="A21" s="3"/>
      <c r="B21" s="3"/>
      <c r="C21" s="3"/>
      <c r="D21" s="3"/>
      <c r="E21" s="3"/>
    </row>
    <row r="22" spans="1:5" x14ac:dyDescent="0.2">
      <c r="A22" s="3"/>
      <c r="B22" s="3"/>
      <c r="C22" s="3"/>
      <c r="D22" s="3"/>
      <c r="E22" s="3"/>
    </row>
    <row r="23" spans="1:5" x14ac:dyDescent="0.2">
      <c r="A23" s="3"/>
      <c r="B23" s="3"/>
      <c r="C23" s="3"/>
      <c r="D23" s="3"/>
      <c r="E23" s="3"/>
    </row>
    <row r="24" spans="1:5" x14ac:dyDescent="0.2">
      <c r="A24" s="3"/>
      <c r="B24" s="3"/>
      <c r="C24" s="3"/>
      <c r="D24" s="3"/>
      <c r="E24" s="3"/>
    </row>
    <row r="25" spans="1:5" x14ac:dyDescent="0.2">
      <c r="A25" s="3"/>
      <c r="B25" s="3"/>
      <c r="C25" s="3"/>
      <c r="D25" s="3"/>
      <c r="E25" s="3"/>
    </row>
    <row r="26" spans="1:5" x14ac:dyDescent="0.2">
      <c r="A26" s="3"/>
      <c r="B26" s="3"/>
      <c r="C26" s="3"/>
      <c r="D26" s="3"/>
      <c r="E26" s="3"/>
    </row>
    <row r="27" spans="1:5" x14ac:dyDescent="0.2">
      <c r="A27" s="3"/>
      <c r="B27" s="3"/>
      <c r="C27" s="3"/>
      <c r="D27" s="3"/>
      <c r="E27" s="3"/>
    </row>
    <row r="28" spans="1:5" x14ac:dyDescent="0.2">
      <c r="A28" s="3"/>
      <c r="B28" s="3"/>
      <c r="C28" s="3"/>
      <c r="D28" s="3"/>
      <c r="E28" s="3"/>
    </row>
    <row r="29" spans="1:5" x14ac:dyDescent="0.2">
      <c r="A29" s="3"/>
      <c r="B29" s="3"/>
      <c r="C29" s="3"/>
      <c r="D29" s="3"/>
      <c r="E29" s="3"/>
    </row>
    <row r="30" spans="1:5" x14ac:dyDescent="0.2">
      <c r="A30" s="3"/>
      <c r="B30" s="3"/>
      <c r="C30" s="3"/>
      <c r="D30" s="3"/>
      <c r="E30" s="3"/>
    </row>
    <row r="31" spans="1:5" x14ac:dyDescent="0.2">
      <c r="A31" s="3"/>
      <c r="B31" s="3"/>
      <c r="C31" s="3"/>
      <c r="D31" s="3"/>
      <c r="E31" s="3"/>
    </row>
    <row r="32" spans="1:5" x14ac:dyDescent="0.2">
      <c r="A32" s="3"/>
      <c r="B32" s="3"/>
      <c r="C32" s="3"/>
      <c r="D32" s="3"/>
      <c r="E32" s="3"/>
    </row>
    <row r="33" spans="1:5" x14ac:dyDescent="0.2">
      <c r="A33" s="3"/>
      <c r="B33" s="3"/>
      <c r="C33" s="3"/>
      <c r="D33" s="3"/>
      <c r="E33" s="3"/>
    </row>
    <row r="34" spans="1:5" x14ac:dyDescent="0.2">
      <c r="A34" s="3"/>
      <c r="B34" s="3"/>
      <c r="C34" s="3"/>
      <c r="D34" s="3"/>
      <c r="E34" s="3"/>
    </row>
    <row r="35" spans="1:5" x14ac:dyDescent="0.2">
      <c r="A35" s="3"/>
      <c r="B35" s="3"/>
      <c r="C35" s="3"/>
      <c r="D35" s="3"/>
      <c r="E35" s="3"/>
    </row>
    <row r="36" spans="1:5" x14ac:dyDescent="0.2">
      <c r="A36" s="3"/>
      <c r="B36" s="3"/>
      <c r="C36" s="3"/>
      <c r="D36" s="3"/>
      <c r="E36" s="3"/>
    </row>
    <row r="37" spans="1:5" x14ac:dyDescent="0.2">
      <c r="A37" s="3"/>
      <c r="B37" s="3"/>
      <c r="C37" s="3"/>
      <c r="D37" s="3"/>
      <c r="E37" s="3"/>
    </row>
    <row r="38" spans="1:5" x14ac:dyDescent="0.2">
      <c r="A38" s="3"/>
      <c r="B38" s="3"/>
      <c r="C38" s="3"/>
      <c r="D38" s="3"/>
      <c r="E3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3E88-280C-654B-A06B-A8270ACE1169}">
  <dimension ref="A3:I9"/>
  <sheetViews>
    <sheetView topLeftCell="D1" zoomScale="94" zoomScaleNormal="94" workbookViewId="0">
      <selection activeCell="G13" sqref="G13"/>
    </sheetView>
  </sheetViews>
  <sheetFormatPr baseColWidth="10" defaultRowHeight="15" x14ac:dyDescent="0.2"/>
  <cols>
    <col min="1" max="1" width="12.1640625" bestFit="1" customWidth="1"/>
    <col min="2" max="2" width="14.33203125" bestFit="1" customWidth="1"/>
    <col min="4" max="4" width="12.1640625" bestFit="1" customWidth="1"/>
    <col min="5" max="5" width="14.1640625" bestFit="1" customWidth="1"/>
    <col min="6" max="6" width="14.33203125" bestFit="1" customWidth="1"/>
    <col min="8" max="8" width="13.33203125" bestFit="1" customWidth="1"/>
    <col min="9" max="9" width="14.33203125" bestFit="1" customWidth="1"/>
  </cols>
  <sheetData>
    <row r="3" spans="1:9" x14ac:dyDescent="0.2">
      <c r="A3" s="6" t="s">
        <v>434</v>
      </c>
      <c r="B3" t="s">
        <v>436</v>
      </c>
      <c r="D3" s="6" t="s">
        <v>434</v>
      </c>
      <c r="E3" t="s">
        <v>437</v>
      </c>
      <c r="F3" t="s">
        <v>436</v>
      </c>
      <c r="H3" s="6" t="s">
        <v>434</v>
      </c>
      <c r="I3" t="s">
        <v>436</v>
      </c>
    </row>
    <row r="4" spans="1:9" x14ac:dyDescent="0.2">
      <c r="A4" s="7" t="s">
        <v>234</v>
      </c>
      <c r="B4" s="8">
        <v>73718</v>
      </c>
      <c r="D4" s="7" t="s">
        <v>12</v>
      </c>
      <c r="E4" s="8">
        <v>29</v>
      </c>
      <c r="F4" s="9">
        <v>46676</v>
      </c>
      <c r="H4" s="7" t="s">
        <v>247</v>
      </c>
      <c r="I4" s="9">
        <v>8390</v>
      </c>
    </row>
    <row r="5" spans="1:9" x14ac:dyDescent="0.2">
      <c r="A5" s="7" t="s">
        <v>235</v>
      </c>
      <c r="B5" s="8">
        <v>36348</v>
      </c>
      <c r="D5" s="7" t="s">
        <v>25</v>
      </c>
      <c r="E5" s="8">
        <v>24</v>
      </c>
      <c r="F5" s="9">
        <v>45404</v>
      </c>
      <c r="H5" s="7" t="s">
        <v>245</v>
      </c>
      <c r="I5" s="9">
        <v>7192</v>
      </c>
    </row>
    <row r="6" spans="1:9" x14ac:dyDescent="0.2">
      <c r="A6" s="7" t="s">
        <v>236</v>
      </c>
      <c r="B6" s="8">
        <v>30938</v>
      </c>
      <c r="D6" s="7" t="s">
        <v>55</v>
      </c>
      <c r="E6" s="8">
        <v>23</v>
      </c>
      <c r="F6" s="9">
        <v>41356</v>
      </c>
      <c r="H6" s="7" t="s">
        <v>265</v>
      </c>
      <c r="I6" s="9">
        <v>6491</v>
      </c>
    </row>
    <row r="7" spans="1:9" x14ac:dyDescent="0.2">
      <c r="A7" s="7" t="s">
        <v>237</v>
      </c>
      <c r="B7" s="8">
        <v>14950</v>
      </c>
      <c r="D7" s="7" t="s">
        <v>43</v>
      </c>
      <c r="E7" s="8">
        <v>22</v>
      </c>
      <c r="F7" s="9">
        <v>28926</v>
      </c>
      <c r="H7" s="7" t="s">
        <v>287</v>
      </c>
      <c r="I7" s="9">
        <v>6192</v>
      </c>
    </row>
    <row r="8" spans="1:9" x14ac:dyDescent="0.2">
      <c r="A8" s="7" t="s">
        <v>238</v>
      </c>
      <c r="B8" s="8">
        <v>6408</v>
      </c>
      <c r="D8" s="7" t="s">
        <v>435</v>
      </c>
      <c r="E8" s="8">
        <v>98</v>
      </c>
      <c r="F8" s="9">
        <v>162362</v>
      </c>
      <c r="H8" s="7" t="s">
        <v>264</v>
      </c>
      <c r="I8" s="9">
        <v>5891</v>
      </c>
    </row>
    <row r="9" spans="1:9" x14ac:dyDescent="0.2">
      <c r="A9" s="7" t="s">
        <v>435</v>
      </c>
      <c r="B9" s="8">
        <v>162362</v>
      </c>
      <c r="H9" s="7" t="s">
        <v>435</v>
      </c>
      <c r="I9" s="9">
        <v>34156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7F9A-4053-4547-9B8E-29E281531DC9}">
  <dimension ref="A1:A8"/>
  <sheetViews>
    <sheetView tabSelected="1" workbookViewId="0">
      <selection activeCell="A16" sqref="A16"/>
    </sheetView>
  </sheetViews>
  <sheetFormatPr baseColWidth="10" defaultRowHeight="15" x14ac:dyDescent="0.2"/>
  <cols>
    <col min="1" max="1" width="93.83203125" customWidth="1"/>
  </cols>
  <sheetData>
    <row r="1" spans="1:1" ht="144" x14ac:dyDescent="0.2">
      <c r="A1" s="10" t="s">
        <v>438</v>
      </c>
    </row>
    <row r="2" spans="1:1" x14ac:dyDescent="0.2">
      <c r="A2" s="1" t="s">
        <v>441</v>
      </c>
    </row>
    <row r="3" spans="1:1" x14ac:dyDescent="0.2">
      <c r="A3" s="11"/>
    </row>
    <row r="4" spans="1:1" ht="48" x14ac:dyDescent="0.2">
      <c r="A4" s="12" t="s">
        <v>439</v>
      </c>
    </row>
    <row r="5" spans="1:1" x14ac:dyDescent="0.2">
      <c r="A5" s="1"/>
    </row>
    <row r="6" spans="1:1" ht="16" x14ac:dyDescent="0.2">
      <c r="A6" s="12" t="s">
        <v>442</v>
      </c>
    </row>
    <row r="8" spans="1:1" ht="32" x14ac:dyDescent="0.2">
      <c r="A8" s="12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Sales Data</vt:lpstr>
      <vt:lpstr>Clean Data</vt:lpstr>
      <vt:lpstr>Cleaning Log</vt:lpstr>
      <vt:lpstr>Analysis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meric capar</cp:lastModifiedBy>
  <dcterms:created xsi:type="dcterms:W3CDTF">2026-04-09T12:04:05Z</dcterms:created>
  <dcterms:modified xsi:type="dcterms:W3CDTF">2026-10-17T00:36:21Z</dcterms:modified>
</cp:coreProperties>
</file>